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7z\Downloads\"/>
    </mc:Choice>
  </mc:AlternateContent>
  <xr:revisionPtr revIDLastSave="0" documentId="13_ncr:1_{B66D424E-18E1-4C12-830D-22F6B45C4FF7}" xr6:coauthVersionLast="45" xr6:coauthVersionMax="45" xr10:uidLastSave="{00000000-0000-0000-0000-000000000000}"/>
  <bookViews>
    <workbookView xWindow="-98" yWindow="-98" windowWidth="20715" windowHeight="13276" activeTab="1" xr2:uid="{00000000-000D-0000-FFFF-FFFF00000000}"/>
  </bookViews>
  <sheets>
    <sheet name="Problem 4" sheetId="1" r:id="rId1"/>
    <sheet name="Problem 5" sheetId="4" r:id="rId2"/>
    <sheet name="Problem 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4" l="1"/>
  <c r="I11" i="4"/>
  <c r="I6" i="4"/>
  <c r="F6" i="1"/>
  <c r="E8" i="1"/>
  <c r="E10" i="1"/>
  <c r="E7" i="1" l="1"/>
  <c r="E9" i="1"/>
  <c r="E11" i="1"/>
  <c r="E6" i="1"/>
  <c r="B24" i="3"/>
  <c r="B23" i="3"/>
  <c r="B22" i="3"/>
  <c r="C20" i="3"/>
  <c r="C19" i="3"/>
  <c r="C18" i="3"/>
  <c r="C17" i="3"/>
  <c r="C16" i="3"/>
  <c r="C15" i="3"/>
  <c r="C14" i="3"/>
  <c r="C12" i="3"/>
  <c r="C13" i="3"/>
  <c r="C11" i="3"/>
  <c r="C9" i="3"/>
  <c r="C10" i="3"/>
  <c r="C8" i="3"/>
  <c r="C7" i="3"/>
  <c r="E12" i="3"/>
  <c r="C6" i="3"/>
  <c r="E13" i="3"/>
  <c r="D7" i="1"/>
  <c r="D8" i="1"/>
  <c r="D9" i="1"/>
  <c r="D10" i="1"/>
  <c r="D11" i="1"/>
  <c r="D6" i="1"/>
  <c r="C7" i="1"/>
  <c r="C8" i="1"/>
  <c r="C9" i="1"/>
  <c r="C10" i="1"/>
  <c r="C11" i="1"/>
  <c r="C6" i="1"/>
  <c r="H7" i="4"/>
  <c r="H8" i="4"/>
  <c r="H9" i="4"/>
  <c r="H10" i="4"/>
  <c r="H11" i="4"/>
  <c r="H6" i="4"/>
  <c r="G7" i="4"/>
  <c r="G8" i="4"/>
  <c r="G9" i="4"/>
  <c r="G10" i="4"/>
  <c r="G11" i="4"/>
  <c r="G6" i="4"/>
  <c r="F7" i="4"/>
  <c r="F8" i="4"/>
  <c r="F9" i="4"/>
  <c r="F10" i="4"/>
  <c r="F11" i="4"/>
  <c r="F6" i="4"/>
</calcChain>
</file>

<file path=xl/sharedStrings.xml><?xml version="1.0" encoding="utf-8"?>
<sst xmlns="http://schemas.openxmlformats.org/spreadsheetml/2006/main" count="47" uniqueCount="40">
  <si>
    <t>X</t>
  </si>
  <si>
    <t>Y</t>
  </si>
  <si>
    <t>Quadrant</t>
  </si>
  <si>
    <t>On X-axis</t>
  </si>
  <si>
    <t>On Y-axis</t>
  </si>
  <si>
    <t>At Origin</t>
  </si>
  <si>
    <t>Class ID</t>
  </si>
  <si>
    <t>Final Grade</t>
  </si>
  <si>
    <t>Letter Grade</t>
  </si>
  <si>
    <t>VLOOKUP TABLE</t>
  </si>
  <si>
    <t>D</t>
  </si>
  <si>
    <t>C</t>
  </si>
  <si>
    <t>B</t>
  </si>
  <si>
    <t>A</t>
  </si>
  <si>
    <t>Class Average:</t>
  </si>
  <si>
    <t>Max grade:</t>
  </si>
  <si>
    <t>Min grade:</t>
  </si>
  <si>
    <t>A+</t>
  </si>
  <si>
    <t>Student Name</t>
  </si>
  <si>
    <t>T1</t>
  </si>
  <si>
    <t>T2</t>
  </si>
  <si>
    <t>T3</t>
  </si>
  <si>
    <t>T4</t>
  </si>
  <si>
    <t>Average</t>
  </si>
  <si>
    <t>Maximum</t>
  </si>
  <si>
    <t>John</t>
  </si>
  <si>
    <t>Andy</t>
  </si>
  <si>
    <t>Jenny</t>
  </si>
  <si>
    <t>Rob</t>
  </si>
  <si>
    <t>Kenny</t>
  </si>
  <si>
    <t>Tiffany</t>
  </si>
  <si>
    <t>F</t>
  </si>
  <si>
    <t>Minimum</t>
  </si>
  <si>
    <t>Full (Y/N)?</t>
  </si>
  <si>
    <t>Half (Y/N)</t>
  </si>
  <si>
    <t>CET 151 TEST 1</t>
  </si>
  <si>
    <t>Your name: Julio Barros</t>
  </si>
  <si>
    <t>Your EID: E01963387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</si>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</sst>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quotePrefix="1" applyFont="1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2" fontId="0" fillId="0" borderId="0" xfId="0" applyNumberFormat="1"/>
    <xf numFmtId="0" fontId="3" fillId="0" borderId="0" xfId="0" applyFont="1"/>
    <xf numFmtId="0" fontId="0" fillId="0" borderId="14" xfId="0" applyBorder="1"/>
    <xf numFmtId="0" fontId="3" fillId="0" borderId="15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3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Result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'Problem 5'!$A$6:$A$11</c:f>
              <c:strCache>
                <c:ptCount val="6"/>
                <c:pt idx="0">
                  <c:v>Andy</c:v>
                </c:pt>
                <c:pt idx="1">
                  <c:v>John</c:v>
                </c:pt>
                <c:pt idx="2">
                  <c:v>Jenny</c:v>
                </c:pt>
                <c:pt idx="3">
                  <c:v>Rob</c:v>
                </c:pt>
                <c:pt idx="4">
                  <c:v>Kenny</c:v>
                </c:pt>
                <c:pt idx="5">
                  <c:v>Tiffany</c:v>
                </c:pt>
              </c:strCache>
            </c:strRef>
          </c:cat>
          <c:val>
            <c:numRef>
              <c:f>'Problem 5'!$F$6:$F$11</c:f>
              <c:numCache>
                <c:formatCode>0.00</c:formatCode>
                <c:ptCount val="6"/>
                <c:pt idx="0">
                  <c:v>86</c:v>
                </c:pt>
                <c:pt idx="1">
                  <c:v>85.25</c:v>
                </c:pt>
                <c:pt idx="2">
                  <c:v>90.5</c:v>
                </c:pt>
                <c:pt idx="3">
                  <c:v>70.5</c:v>
                </c:pt>
                <c:pt idx="4">
                  <c:v>91.5</c:v>
                </c:pt>
                <c:pt idx="5">
                  <c:v>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BBB-B67B-28B1AED7ADCB}"/>
            </c:ext>
          </c:extLst>
        </c:ser>
        <c:ser>
          <c:idx val="1"/>
          <c:order val="1"/>
          <c:tx>
            <c:v>Maximum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'Problem 5'!$A$6:$A$11</c:f>
              <c:strCache>
                <c:ptCount val="6"/>
                <c:pt idx="0">
                  <c:v>Andy</c:v>
                </c:pt>
                <c:pt idx="1">
                  <c:v>John</c:v>
                </c:pt>
                <c:pt idx="2">
                  <c:v>Jenny</c:v>
                </c:pt>
                <c:pt idx="3">
                  <c:v>Rob</c:v>
                </c:pt>
                <c:pt idx="4">
                  <c:v>Kenny</c:v>
                </c:pt>
                <c:pt idx="5">
                  <c:v>Tiffany</c:v>
                </c:pt>
              </c:strCache>
            </c:strRef>
          </c:cat>
          <c:val>
            <c:numRef>
              <c:f>'Problem 5'!$G$6:$G$11</c:f>
              <c:numCache>
                <c:formatCode>General</c:formatCode>
                <c:ptCount val="6"/>
                <c:pt idx="0">
                  <c:v>98</c:v>
                </c:pt>
                <c:pt idx="1">
                  <c:v>99</c:v>
                </c:pt>
                <c:pt idx="2">
                  <c:v>96</c:v>
                </c:pt>
                <c:pt idx="3">
                  <c:v>77</c:v>
                </c:pt>
                <c:pt idx="4">
                  <c:v>93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9-4BBB-B67B-28B1AED7ADCB}"/>
            </c:ext>
          </c:extLst>
        </c:ser>
        <c:ser>
          <c:idx val="2"/>
          <c:order val="2"/>
          <c:tx>
            <c:v>Mininum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'Problem 5'!$A$6:$A$11</c:f>
              <c:strCache>
                <c:ptCount val="6"/>
                <c:pt idx="0">
                  <c:v>Andy</c:v>
                </c:pt>
                <c:pt idx="1">
                  <c:v>John</c:v>
                </c:pt>
                <c:pt idx="2">
                  <c:v>Jenny</c:v>
                </c:pt>
                <c:pt idx="3">
                  <c:v>Rob</c:v>
                </c:pt>
                <c:pt idx="4">
                  <c:v>Kenny</c:v>
                </c:pt>
                <c:pt idx="5">
                  <c:v>Tiffany</c:v>
                </c:pt>
              </c:strCache>
            </c:strRef>
          </c:cat>
          <c:val>
            <c:numRef>
              <c:f>'Problem 5'!$H$6:$H$11</c:f>
              <c:numCache>
                <c:formatCode>General</c:formatCode>
                <c:ptCount val="6"/>
                <c:pt idx="0">
                  <c:v>71</c:v>
                </c:pt>
                <c:pt idx="1">
                  <c:v>58</c:v>
                </c:pt>
                <c:pt idx="2">
                  <c:v>88</c:v>
                </c:pt>
                <c:pt idx="3">
                  <c:v>62</c:v>
                </c:pt>
                <c:pt idx="4">
                  <c:v>90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9-4BBB-B67B-28B1AED7A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966008"/>
        <c:axId val="474967928"/>
      </c:barChart>
      <c:catAx>
        <c:axId val="47496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67928"/>
        <c:crosses val="autoZero"/>
        <c:auto val="1"/>
        <c:lblAlgn val="ctr"/>
        <c:lblOffset val="100"/>
        <c:noMultiLvlLbl val="0"/>
      </c:catAx>
      <c:valAx>
        <c:axId val="47496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6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'Problem 6'!$B$6:$B$20</c:f>
              <c:numCache>
                <c:formatCode>0.00</c:formatCode>
                <c:ptCount val="15"/>
                <c:pt idx="0">
                  <c:v>85.5</c:v>
                </c:pt>
                <c:pt idx="1">
                  <c:v>98.4</c:v>
                </c:pt>
                <c:pt idx="2">
                  <c:v>56.499999999999993</c:v>
                </c:pt>
                <c:pt idx="3">
                  <c:v>92</c:v>
                </c:pt>
                <c:pt idx="4">
                  <c:v>84.17</c:v>
                </c:pt>
                <c:pt idx="5">
                  <c:v>96</c:v>
                </c:pt>
                <c:pt idx="6">
                  <c:v>86.33</c:v>
                </c:pt>
                <c:pt idx="7">
                  <c:v>99.33</c:v>
                </c:pt>
                <c:pt idx="8">
                  <c:v>98.33</c:v>
                </c:pt>
                <c:pt idx="9">
                  <c:v>62.8</c:v>
                </c:pt>
                <c:pt idx="10">
                  <c:v>99</c:v>
                </c:pt>
                <c:pt idx="11">
                  <c:v>98.67</c:v>
                </c:pt>
                <c:pt idx="12">
                  <c:v>77.2</c:v>
                </c:pt>
                <c:pt idx="13">
                  <c:v>99.67</c:v>
                </c:pt>
                <c:pt idx="14">
                  <c:v>70.67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E-4DAF-A0B3-4C517114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208304"/>
        <c:axId val="365204144"/>
      </c:barChart>
      <c:catAx>
        <c:axId val="36520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04144"/>
        <c:crosses val="autoZero"/>
        <c:auto val="1"/>
        <c:lblAlgn val="ctr"/>
        <c:lblOffset val="100"/>
        <c:noMultiLvlLbl val="0"/>
      </c:catAx>
      <c:valAx>
        <c:axId val="365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2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109182</xdr:colOff>
      <xdr:row>0</xdr:row>
      <xdr:rowOff>129654</xdr:rowOff>
    </xdr:from>
    <xdr:to>
      <xdr:col>9</xdr:col>
      <xdr:colOff>205006</xdr:colOff>
      <xdr:row>11</xdr:row>
      <xdr:rowOff>67569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967" y="129654"/>
          <a:ext cx="2061102" cy="1739419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11906</xdr:rowOff>
    </xdr:from>
    <xdr:to>
      <xdr:col>8</xdr:col>
      <xdr:colOff>195262</xdr:colOff>
      <xdr:row>28</xdr:row>
      <xdr:rowOff>2381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50E3F-39FE-4C8A-8E3C-8421D0462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250549</xdr:colOff>
      <xdr:row>8</xdr:row>
      <xdr:rowOff>156540</xdr:rowOff>
    </xdr:from>
    <xdr:to>
      <xdr:col>10</xdr:col>
      <xdr:colOff>300245</xdr:colOff>
      <xdr:row>25</xdr:row>
      <xdr:rowOff>149914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BA061-87AD-4D97-9A01-5385AE863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15" zoomScaleNormal="115" workbookViewId="0">
      <selection activeCell="F11" sqref="F11"/>
    </sheetView>
  </sheetViews>
  <sheetFormatPr defaultRowHeight="12.75" x14ac:dyDescent="0.35"/>
  <cols>
    <col min="1" max="1" width="11.59765625" customWidth="1"/>
    <col min="3" max="3" width="11" customWidth="1"/>
    <col min="4" max="5" width="11.59765625" customWidth="1"/>
    <col min="6" max="6" width="11.86328125" customWidth="1"/>
  </cols>
  <sheetData>
    <row r="1" spans="1:10" ht="13.15" x14ac:dyDescent="0.4">
      <c r="A1" s="31" t="s">
        <v>35</v>
      </c>
      <c r="B1" s="31"/>
    </row>
    <row r="2" spans="1:10" ht="13.15" x14ac:dyDescent="0.4">
      <c r="A2" s="31" t="s">
        <v>36</v>
      </c>
      <c r="B2" s="31"/>
      <c r="C2" s="31"/>
      <c r="E2" s="3"/>
      <c r="F2" s="2"/>
      <c r="G2" s="2"/>
      <c r="H2" s="2"/>
      <c r="I2" s="2"/>
      <c r="J2" s="2"/>
    </row>
    <row r="3" spans="1:10" ht="13.15" x14ac:dyDescent="0.4">
      <c r="A3" s="31" t="s">
        <v>37</v>
      </c>
      <c r="B3" s="31"/>
      <c r="C3" s="31"/>
    </row>
    <row r="5" spans="1:10" ht="13.15" x14ac:dyDescent="0.4">
      <c r="A5" s="19" t="s">
        <v>0</v>
      </c>
      <c r="B5" s="19" t="s">
        <v>1</v>
      </c>
      <c r="C5" s="19" t="s">
        <v>3</v>
      </c>
      <c r="D5" s="19" t="s">
        <v>4</v>
      </c>
      <c r="E5" s="19" t="s">
        <v>5</v>
      </c>
      <c r="F5" s="19" t="s">
        <v>2</v>
      </c>
    </row>
    <row r="6" spans="1:10" x14ac:dyDescent="0.35">
      <c r="A6" s="4">
        <v>1</v>
      </c>
      <c r="B6" s="4">
        <v>3</v>
      </c>
      <c r="C6" s="20" t="str">
        <f>IF(B6=0,"Yes", "No")</f>
        <v>No</v>
      </c>
      <c r="D6" s="20" t="str">
        <f>IF(A6=0,"Yes","No")</f>
        <v>No</v>
      </c>
      <c r="E6" s="20" t="str">
        <f>IF(A6/B6=0,"Yes","No")</f>
        <v>No</v>
      </c>
      <c r="F6" s="20" t="str">
        <f>IF(A6/B6&gt;0,"I",)</f>
        <v>I</v>
      </c>
    </row>
    <row r="7" spans="1:10" x14ac:dyDescent="0.35">
      <c r="A7" s="4">
        <v>-4</v>
      </c>
      <c r="B7" s="4">
        <v>-1</v>
      </c>
      <c r="C7" s="20" t="str">
        <f t="shared" ref="C7:C11" si="0">IF(B7=0,"Yes", "No")</f>
        <v>No</v>
      </c>
      <c r="D7" s="20" t="str">
        <f t="shared" ref="D7:D11" si="1">IF(A7=0,"Yes","No")</f>
        <v>No</v>
      </c>
      <c r="E7" s="20" t="str">
        <f t="shared" ref="E7:E11" si="2">IF(A7/B7=0,"Yes","No")</f>
        <v>No</v>
      </c>
      <c r="F7" s="20"/>
    </row>
    <row r="8" spans="1:10" x14ac:dyDescent="0.35">
      <c r="A8" s="4">
        <v>0</v>
      </c>
      <c r="B8" s="4">
        <v>-4</v>
      </c>
      <c r="C8" s="20" t="str">
        <f t="shared" si="0"/>
        <v>No</v>
      </c>
      <c r="D8" s="20" t="str">
        <f t="shared" si="1"/>
        <v>Yes</v>
      </c>
      <c r="E8" s="20" t="str">
        <f>IF(B8=0,"Yes","No")</f>
        <v>No</v>
      </c>
      <c r="F8" s="20"/>
    </row>
    <row r="9" spans="1:10" x14ac:dyDescent="0.35">
      <c r="A9" s="4">
        <v>-1</v>
      </c>
      <c r="B9" s="4">
        <v>3</v>
      </c>
      <c r="C9" s="20" t="str">
        <f t="shared" si="0"/>
        <v>No</v>
      </c>
      <c r="D9" s="20" t="str">
        <f t="shared" si="1"/>
        <v>No</v>
      </c>
      <c r="E9" s="20" t="str">
        <f t="shared" si="2"/>
        <v>No</v>
      </c>
      <c r="F9" s="20"/>
    </row>
    <row r="10" spans="1:10" x14ac:dyDescent="0.35">
      <c r="A10" s="4">
        <v>0</v>
      </c>
      <c r="B10" s="4">
        <v>0</v>
      </c>
      <c r="C10" s="20" t="str">
        <f t="shared" si="0"/>
        <v>Yes</v>
      </c>
      <c r="D10" s="20" t="str">
        <f t="shared" si="1"/>
        <v>Yes</v>
      </c>
      <c r="E10" s="20" t="str">
        <f>IF(B10=0,"Yes","No")</f>
        <v>Yes</v>
      </c>
      <c r="F10" s="20"/>
    </row>
    <row r="11" spans="1:10" x14ac:dyDescent="0.35">
      <c r="A11" s="4">
        <v>2</v>
      </c>
      <c r="B11" s="4">
        <v>3</v>
      </c>
      <c r="C11" s="20" t="str">
        <f t="shared" si="0"/>
        <v>No</v>
      </c>
      <c r="D11" s="20" t="str">
        <f t="shared" si="1"/>
        <v>No</v>
      </c>
      <c r="E11" s="20" t="str">
        <f t="shared" si="2"/>
        <v>No</v>
      </c>
      <c r="F11" s="20"/>
    </row>
  </sheetData>
  <mergeCells count="3">
    <mergeCell ref="A1:B1"/>
    <mergeCell ref="A2:C2"/>
    <mergeCell ref="A3:C3"/>
  </mergeCells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zoomScaleNormal="100" workbookViewId="0">
      <selection activeCell="J7" sqref="J7"/>
    </sheetView>
  </sheetViews>
  <sheetFormatPr defaultRowHeight="12.75" x14ac:dyDescent="0.35"/>
  <cols>
    <col min="1" max="1" width="13.06640625" customWidth="1"/>
    <col min="2" max="2" width="6.6640625" customWidth="1"/>
    <col min="3" max="3" width="6.06640625" customWidth="1"/>
    <col min="4" max="4" width="5.59765625" customWidth="1"/>
    <col min="5" max="5" width="5" customWidth="1"/>
    <col min="6" max="6" width="7.86328125" bestFit="1" customWidth="1"/>
    <col min="7" max="7" width="9" bestFit="1" customWidth="1"/>
    <col min="8" max="8" width="8" bestFit="1" customWidth="1"/>
    <col min="9" max="9" width="10.86328125" bestFit="1" customWidth="1"/>
    <col min="10" max="10" width="12.86328125" customWidth="1"/>
  </cols>
  <sheetData>
    <row r="1" spans="1:13" ht="13.15" x14ac:dyDescent="0.4">
      <c r="A1" s="17" t="s">
        <v>35</v>
      </c>
      <c r="B1" s="17"/>
      <c r="C1" s="17"/>
      <c r="D1" s="17"/>
    </row>
    <row r="2" spans="1:13" ht="13.15" x14ac:dyDescent="0.4">
      <c r="A2" s="17" t="s">
        <v>36</v>
      </c>
      <c r="B2" s="17"/>
      <c r="C2" s="17"/>
      <c r="D2" s="17"/>
      <c r="E2" s="17"/>
      <c r="H2" s="3"/>
      <c r="I2" s="2"/>
      <c r="J2" s="2"/>
      <c r="K2" s="2"/>
      <c r="L2" s="2"/>
      <c r="M2" s="2"/>
    </row>
    <row r="3" spans="1:13" ht="13.15" x14ac:dyDescent="0.4">
      <c r="A3" s="17" t="s">
        <v>37</v>
      </c>
      <c r="B3" s="17"/>
      <c r="C3" s="17"/>
      <c r="D3" s="17"/>
      <c r="E3" s="17"/>
    </row>
    <row r="4" spans="1:13" ht="13.15" thickBot="1" x14ac:dyDescent="0.4"/>
    <row r="5" spans="1:13" ht="13.15" x14ac:dyDescent="0.4">
      <c r="A5" s="21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32</v>
      </c>
      <c r="I5" s="22" t="s">
        <v>33</v>
      </c>
      <c r="J5" s="29" t="s">
        <v>34</v>
      </c>
    </row>
    <row r="6" spans="1:13" x14ac:dyDescent="0.35">
      <c r="A6" s="23" t="s">
        <v>26</v>
      </c>
      <c r="B6" s="18">
        <v>98</v>
      </c>
      <c r="C6" s="18">
        <v>77</v>
      </c>
      <c r="D6" s="18">
        <v>71</v>
      </c>
      <c r="E6" s="18">
        <v>98</v>
      </c>
      <c r="F6" s="24">
        <f>AVERAGE(B6,C6,D6:E6)</f>
        <v>86</v>
      </c>
      <c r="G6" s="7">
        <f>MAX(B6,C6,D6,E6)</f>
        <v>98</v>
      </c>
      <c r="H6" s="7">
        <f>MIN(B6:E6)</f>
        <v>71</v>
      </c>
      <c r="I6" s="25" t="str">
        <f>IF(F6&gt;=85,IF(H6&gt;=70,IF(G6&gt;=95,"Yes","No")))</f>
        <v>Yes</v>
      </c>
      <c r="J6" s="25"/>
    </row>
    <row r="7" spans="1:13" x14ac:dyDescent="0.35">
      <c r="A7" s="5" t="s">
        <v>25</v>
      </c>
      <c r="B7" s="18">
        <v>97</v>
      </c>
      <c r="C7" s="18">
        <v>87</v>
      </c>
      <c r="D7" s="18">
        <v>58</v>
      </c>
      <c r="E7" s="18">
        <v>99</v>
      </c>
      <c r="F7" s="24">
        <f t="shared" ref="F7:F11" si="0">AVERAGE(B7,C7,D7:E7)</f>
        <v>85.25</v>
      </c>
      <c r="G7" s="7">
        <f t="shared" ref="G7:G11" si="1">MAX(B7,C7,D7,E7)</f>
        <v>99</v>
      </c>
      <c r="H7" s="7">
        <f t="shared" ref="H7:H11" si="2">MIN(B7:E7)</f>
        <v>58</v>
      </c>
      <c r="I7" s="25" t="s">
        <v>38</v>
      </c>
      <c r="J7" s="25"/>
    </row>
    <row r="8" spans="1:13" x14ac:dyDescent="0.35">
      <c r="A8" s="23" t="s">
        <v>27</v>
      </c>
      <c r="B8" s="18">
        <v>90</v>
      </c>
      <c r="C8" s="18">
        <v>96</v>
      </c>
      <c r="D8" s="18">
        <v>88</v>
      </c>
      <c r="E8" s="18">
        <v>88</v>
      </c>
      <c r="F8" s="24">
        <f t="shared" si="0"/>
        <v>90.5</v>
      </c>
      <c r="G8" s="7">
        <f t="shared" si="1"/>
        <v>96</v>
      </c>
      <c r="H8" s="7">
        <f t="shared" si="2"/>
        <v>88</v>
      </c>
      <c r="I8" s="25" t="s">
        <v>39</v>
      </c>
      <c r="J8" s="25"/>
    </row>
    <row r="9" spans="1:13" x14ac:dyDescent="0.35">
      <c r="A9" s="23" t="s">
        <v>28</v>
      </c>
      <c r="B9" s="18">
        <v>66</v>
      </c>
      <c r="C9" s="18">
        <v>62</v>
      </c>
      <c r="D9" s="18">
        <v>77</v>
      </c>
      <c r="E9" s="18">
        <v>77</v>
      </c>
      <c r="F9" s="24">
        <f t="shared" si="0"/>
        <v>70.5</v>
      </c>
      <c r="G9" s="7">
        <f t="shared" si="1"/>
        <v>77</v>
      </c>
      <c r="H9" s="7">
        <f t="shared" si="2"/>
        <v>62</v>
      </c>
      <c r="I9" s="25" t="s">
        <v>38</v>
      </c>
      <c r="J9" s="25"/>
    </row>
    <row r="10" spans="1:13" x14ac:dyDescent="0.35">
      <c r="A10" s="23" t="s">
        <v>29</v>
      </c>
      <c r="B10" s="18">
        <v>90</v>
      </c>
      <c r="C10" s="18">
        <v>90</v>
      </c>
      <c r="D10" s="18">
        <v>93</v>
      </c>
      <c r="E10" s="18">
        <v>93</v>
      </c>
      <c r="F10" s="24">
        <f t="shared" si="0"/>
        <v>91.5</v>
      </c>
      <c r="G10" s="7">
        <f t="shared" si="1"/>
        <v>93</v>
      </c>
      <c r="H10" s="7">
        <f t="shared" si="2"/>
        <v>90</v>
      </c>
      <c r="I10" s="25" t="str">
        <f t="shared" ref="I9:I11" si="3">IF(F10&gt;=85,IF(H10&gt;=70,IF(G10&gt;=95,"Yes","No")))</f>
        <v>No</v>
      </c>
      <c r="J10" s="25"/>
    </row>
    <row r="11" spans="1:13" ht="13.15" thickBot="1" x14ac:dyDescent="0.4">
      <c r="A11" s="26" t="s">
        <v>30</v>
      </c>
      <c r="B11" s="27">
        <v>89</v>
      </c>
      <c r="C11" s="27">
        <v>89</v>
      </c>
      <c r="D11" s="27">
        <v>90</v>
      </c>
      <c r="E11" s="27">
        <v>90</v>
      </c>
      <c r="F11" s="24">
        <f t="shared" si="0"/>
        <v>89.5</v>
      </c>
      <c r="G11" s="7">
        <f t="shared" si="1"/>
        <v>90</v>
      </c>
      <c r="H11" s="7">
        <f t="shared" si="2"/>
        <v>89</v>
      </c>
      <c r="I11" s="25" t="str">
        <f t="shared" si="3"/>
        <v>No</v>
      </c>
      <c r="J11" s="2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="115" zoomScaleNormal="115" workbookViewId="0">
      <selection activeCell="I6" sqref="I6"/>
    </sheetView>
  </sheetViews>
  <sheetFormatPr defaultRowHeight="12.75" x14ac:dyDescent="0.35"/>
  <cols>
    <col min="1" max="1" width="13.06640625" bestFit="1" customWidth="1"/>
    <col min="2" max="2" width="10.6640625" bestFit="1" customWidth="1"/>
    <col min="3" max="3" width="11.6640625" bestFit="1" customWidth="1"/>
  </cols>
  <sheetData>
    <row r="1" spans="1:6" ht="13.15" x14ac:dyDescent="0.4">
      <c r="A1" s="31" t="s">
        <v>35</v>
      </c>
      <c r="B1" s="31"/>
    </row>
    <row r="2" spans="1:6" ht="13.5" thickBot="1" x14ac:dyDescent="0.45">
      <c r="A2" s="31" t="s">
        <v>36</v>
      </c>
      <c r="B2" s="31"/>
      <c r="E2" s="32" t="s">
        <v>9</v>
      </c>
      <c r="F2" s="32"/>
    </row>
    <row r="3" spans="1:6" ht="13.5" thickTop="1" x14ac:dyDescent="0.4">
      <c r="A3" s="31" t="s">
        <v>37</v>
      </c>
      <c r="B3" s="31"/>
      <c r="E3" s="9">
        <v>0</v>
      </c>
      <c r="F3" s="10" t="s">
        <v>31</v>
      </c>
    </row>
    <row r="4" spans="1:6" x14ac:dyDescent="0.35">
      <c r="E4" s="11">
        <v>60</v>
      </c>
      <c r="F4" s="12" t="s">
        <v>10</v>
      </c>
    </row>
    <row r="5" spans="1:6" ht="13.15" x14ac:dyDescent="0.4">
      <c r="A5" s="1" t="s">
        <v>6</v>
      </c>
      <c r="B5" s="1" t="s">
        <v>7</v>
      </c>
      <c r="C5" s="1" t="s">
        <v>8</v>
      </c>
      <c r="E5" s="11">
        <v>70</v>
      </c>
      <c r="F5" s="12" t="s">
        <v>11</v>
      </c>
    </row>
    <row r="6" spans="1:6" x14ac:dyDescent="0.35">
      <c r="A6" s="5">
        <v>1</v>
      </c>
      <c r="B6" s="8">
        <v>85.5</v>
      </c>
      <c r="C6" s="20" t="str">
        <f>VLOOKUP(B6,E3:F8,2,TRUE)</f>
        <v>B</v>
      </c>
      <c r="E6" s="11">
        <v>80</v>
      </c>
      <c r="F6" s="12" t="s">
        <v>12</v>
      </c>
    </row>
    <row r="7" spans="1:6" x14ac:dyDescent="0.35">
      <c r="A7" s="5">
        <v>2</v>
      </c>
      <c r="B7" s="8">
        <v>98.4</v>
      </c>
      <c r="C7" s="20" t="str">
        <f>VLOOKUP(B7,E3:F8,2,TRUE)</f>
        <v>A+</v>
      </c>
      <c r="E7" s="11">
        <v>90</v>
      </c>
      <c r="F7" s="12" t="s">
        <v>13</v>
      </c>
    </row>
    <row r="8" spans="1:6" ht="13.15" thickBot="1" x14ac:dyDescent="0.4">
      <c r="A8" s="5">
        <v>3</v>
      </c>
      <c r="B8" s="8">
        <v>56.499999999999993</v>
      </c>
      <c r="C8" s="20" t="str">
        <f>VLOOKUP(B8,E3:F8,2,TRUE)</f>
        <v>F</v>
      </c>
      <c r="E8" s="15">
        <v>95</v>
      </c>
      <c r="F8" s="16" t="s">
        <v>17</v>
      </c>
    </row>
    <row r="9" spans="1:6" ht="13.15" thickTop="1" x14ac:dyDescent="0.35">
      <c r="A9" s="5">
        <v>4</v>
      </c>
      <c r="B9" s="8">
        <v>92</v>
      </c>
      <c r="C9" s="20" t="str">
        <f>VLOOKUP(B9,E3:F8,2,TRUE)</f>
        <v>A</v>
      </c>
    </row>
    <row r="10" spans="1:6" x14ac:dyDescent="0.35">
      <c r="A10" s="5">
        <v>5</v>
      </c>
      <c r="B10" s="8">
        <v>84.17</v>
      </c>
      <c r="C10" s="20" t="str">
        <f>VLOOKUP(B10,E3:F8,2,TRUE)</f>
        <v>B</v>
      </c>
    </row>
    <row r="11" spans="1:6" x14ac:dyDescent="0.35">
      <c r="A11" s="5">
        <v>6</v>
      </c>
      <c r="B11" s="8">
        <v>96</v>
      </c>
      <c r="C11" s="20" t="str">
        <f>VLOOKUP(B11,E3:F8,2,TRUE)</f>
        <v>A+</v>
      </c>
    </row>
    <row r="12" spans="1:6" x14ac:dyDescent="0.35">
      <c r="A12" s="5">
        <v>7</v>
      </c>
      <c r="B12" s="8">
        <v>86.33</v>
      </c>
      <c r="C12" s="20" t="str">
        <f>VLOOKUP(B12,E3:F8,2,TRUE)</f>
        <v>B</v>
      </c>
      <c r="E12" t="str">
        <f>VLOOKUP(B8,E3:F8,2,TRUE)</f>
        <v>F</v>
      </c>
    </row>
    <row r="13" spans="1:6" x14ac:dyDescent="0.35">
      <c r="A13" s="5">
        <v>8</v>
      </c>
      <c r="B13" s="8">
        <v>99.33</v>
      </c>
      <c r="C13" s="20" t="str">
        <f t="shared" ref="C13" si="0">VLOOKUP(B13,E8:F13,2,TRUE)</f>
        <v>A+</v>
      </c>
      <c r="E13" t="str">
        <f>VLOOKUP(B6,E3:F8,2,TRUE)</f>
        <v>B</v>
      </c>
    </row>
    <row r="14" spans="1:6" x14ac:dyDescent="0.35">
      <c r="A14" s="5">
        <v>9</v>
      </c>
      <c r="B14" s="8">
        <v>98.33</v>
      </c>
      <c r="C14" s="20" t="str">
        <f>VLOOKUP(B14,E3:F8,2,TRUE)</f>
        <v>A+</v>
      </c>
    </row>
    <row r="15" spans="1:6" x14ac:dyDescent="0.35">
      <c r="A15" s="5">
        <v>10</v>
      </c>
      <c r="B15" s="8">
        <v>62.8</v>
      </c>
      <c r="C15" s="20" t="str">
        <f>VLOOKUP(B15,E3:F8,2,TRUE)</f>
        <v>D</v>
      </c>
    </row>
    <row r="16" spans="1:6" x14ac:dyDescent="0.35">
      <c r="A16" s="5">
        <v>11</v>
      </c>
      <c r="B16" s="8">
        <v>99</v>
      </c>
      <c r="C16" s="20" t="str">
        <f>VLOOKUP(B16,E3:F8,2,TRUE)</f>
        <v>A+</v>
      </c>
    </row>
    <row r="17" spans="1:3" x14ac:dyDescent="0.35">
      <c r="A17" s="5">
        <v>12</v>
      </c>
      <c r="B17" s="8">
        <v>98.67</v>
      </c>
      <c r="C17" s="20" t="str">
        <f>VLOOKUP(B17,E3:F8,2,TRUE)</f>
        <v>A+</v>
      </c>
    </row>
    <row r="18" spans="1:3" x14ac:dyDescent="0.35">
      <c r="A18" s="5">
        <v>13</v>
      </c>
      <c r="B18" s="8">
        <v>77.2</v>
      </c>
      <c r="C18" s="20" t="str">
        <f>VLOOKUP(B18,E3:F8,2,TRUE)</f>
        <v>C</v>
      </c>
    </row>
    <row r="19" spans="1:3" x14ac:dyDescent="0.35">
      <c r="A19" s="5">
        <v>14</v>
      </c>
      <c r="B19" s="8">
        <v>99.67</v>
      </c>
      <c r="C19" s="20" t="str">
        <f>VLOOKUP(B19,E3:F8,2,TRUE)</f>
        <v>A+</v>
      </c>
    </row>
    <row r="20" spans="1:3" x14ac:dyDescent="0.35">
      <c r="A20" s="5">
        <v>15</v>
      </c>
      <c r="B20" s="8">
        <v>70.67</v>
      </c>
      <c r="C20" s="20" t="str">
        <f>VLOOKUP(B20,E3:F8,2,TRUE)</f>
        <v>C</v>
      </c>
    </row>
    <row r="21" spans="1:3" x14ac:dyDescent="0.35">
      <c r="B21" s="13"/>
    </row>
    <row r="22" spans="1:3" x14ac:dyDescent="0.35">
      <c r="A22" s="14" t="s">
        <v>14</v>
      </c>
      <c r="B22" s="30">
        <f>AVERAGE(B6:B20)</f>
        <v>86.971333333333348</v>
      </c>
    </row>
    <row r="23" spans="1:3" x14ac:dyDescent="0.35">
      <c r="A23" s="14" t="s">
        <v>15</v>
      </c>
      <c r="B23" s="30">
        <f>MAX(B6:B20)</f>
        <v>99.67</v>
      </c>
    </row>
    <row r="24" spans="1:3" x14ac:dyDescent="0.35">
      <c r="A24" s="14" t="s">
        <v>16</v>
      </c>
      <c r="B24" s="30">
        <f>MIN(B6:B20)</f>
        <v>56.499999999999993</v>
      </c>
    </row>
  </sheetData>
  <mergeCells count="4">
    <mergeCell ref="A1:B1"/>
    <mergeCell ref="A2:B2"/>
    <mergeCell ref="A3:B3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4</vt:lpstr>
      <vt:lpstr>Problem 5</vt:lpstr>
      <vt:lpstr>Problem 6</vt:lpstr>
    </vt:vector>
  </TitlesOfParts>
  <Company>Eastern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Shay</dc:creator>
  <cp:lastModifiedBy>K7z</cp:lastModifiedBy>
  <dcterms:created xsi:type="dcterms:W3CDTF">2008-02-15T18:03:22Z</dcterms:created>
  <dcterms:modified xsi:type="dcterms:W3CDTF">2019-10-10T17:40:50Z</dcterms:modified>
</cp:coreProperties>
</file>