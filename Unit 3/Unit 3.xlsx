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7z\Documents\"/>
    </mc:Choice>
  </mc:AlternateContent>
  <xr:revisionPtr revIDLastSave="0" documentId="8_{857D8966-35E3-432A-A027-E54D8A9BADF8}" xr6:coauthVersionLast="44" xr6:coauthVersionMax="44" xr10:uidLastSave="{00000000-0000-0000-0000-000000000000}"/>
  <bookViews>
    <workbookView xWindow="-98" yWindow="-98" windowWidth="20715" windowHeight="13276" activeTab="3" xr2:uid="{0199F208-254F-40AE-89FD-5C18B6703838}"/>
  </bookViews>
  <sheets>
    <sheet name="Unit 3 - 3A" sheetId="2" r:id="rId1"/>
    <sheet name="Unit 3 - 3B" sheetId="3" r:id="rId2"/>
    <sheet name="Unit 3 - 3C" sheetId="1" r:id="rId3"/>
    <sheet name="Unit 3 - 3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4" l="1"/>
  <c r="B17" i="4"/>
  <c r="B16" i="4"/>
  <c r="B14" i="4"/>
  <c r="B13" i="4"/>
  <c r="B12" i="4"/>
  <c r="B11" i="4"/>
  <c r="B8" i="4"/>
  <c r="B7" i="4"/>
  <c r="D4" i="4"/>
  <c r="E17" i="3" l="1"/>
  <c r="E16" i="3"/>
  <c r="E15" i="3"/>
  <c r="F12" i="3"/>
  <c r="F11" i="3"/>
  <c r="F10" i="3"/>
  <c r="F9" i="3"/>
  <c r="F8" i="3"/>
  <c r="F7" i="3"/>
  <c r="F6" i="3"/>
  <c r="F17" i="3" s="1"/>
  <c r="F16" i="3" l="1"/>
  <c r="F15" i="3"/>
  <c r="G17" i="2" l="1"/>
  <c r="H17" i="2" s="1"/>
  <c r="G16" i="2"/>
  <c r="H16" i="2" s="1"/>
  <c r="H15" i="2"/>
  <c r="G15" i="2"/>
  <c r="G14" i="2"/>
  <c r="H14" i="2" s="1"/>
  <c r="H13" i="2"/>
  <c r="G13" i="2"/>
  <c r="G12" i="2"/>
  <c r="H12" i="2" s="1"/>
  <c r="H11" i="2"/>
  <c r="G11" i="2"/>
  <c r="G10" i="2"/>
  <c r="H10" i="2" s="1"/>
  <c r="H9" i="2"/>
  <c r="G9" i="2"/>
  <c r="G8" i="2"/>
  <c r="H8" i="2" s="1"/>
  <c r="G8" i="1" l="1"/>
  <c r="G9" i="1"/>
  <c r="G10" i="1"/>
  <c r="G11" i="1"/>
  <c r="G12" i="1"/>
  <c r="G13" i="1"/>
  <c r="G14" i="1"/>
  <c r="G15" i="1"/>
  <c r="G16" i="1"/>
  <c r="G17" i="1"/>
  <c r="G18" i="1"/>
  <c r="G7" i="1"/>
  <c r="E21" i="1" l="1"/>
  <c r="E22" i="1"/>
  <c r="E20" i="1"/>
  <c r="F7" i="1"/>
  <c r="F8" i="1"/>
  <c r="F9" i="1"/>
  <c r="F10" i="1"/>
  <c r="F11" i="1"/>
  <c r="F12" i="1"/>
  <c r="F13" i="1"/>
  <c r="F14" i="1"/>
  <c r="F15" i="1"/>
  <c r="F16" i="1"/>
  <c r="F17" i="1"/>
  <c r="F18" i="1"/>
  <c r="F21" i="1" l="1"/>
  <c r="F20" i="1"/>
  <c r="F22" i="1"/>
</calcChain>
</file>

<file path=xl/sharedStrings.xml><?xml version="1.0" encoding="utf-8"?>
<sst xmlns="http://schemas.openxmlformats.org/spreadsheetml/2006/main" count="70" uniqueCount="59">
  <si>
    <t>Data Collected</t>
  </si>
  <si>
    <t>RPM</t>
  </si>
  <si>
    <t>Radian/Second</t>
  </si>
  <si>
    <t>Maximum</t>
  </si>
  <si>
    <t>Minimum</t>
  </si>
  <si>
    <t>Average</t>
  </si>
  <si>
    <t>Name:Julio Barros</t>
  </si>
  <si>
    <t>EID:019633687</t>
  </si>
  <si>
    <t>Unit 3 -3B</t>
  </si>
  <si>
    <t>Name: Julio Barros</t>
  </si>
  <si>
    <t>EID:01963387</t>
  </si>
  <si>
    <t>Week</t>
  </si>
  <si>
    <t>Temperature in Centigrade</t>
  </si>
  <si>
    <t>Temperature in Farenheit</t>
  </si>
  <si>
    <t>Sunday</t>
  </si>
  <si>
    <t>Monday</t>
  </si>
  <si>
    <t>Tuesday</t>
  </si>
  <si>
    <t>Wednesday</t>
  </si>
  <si>
    <t>Thursday</t>
  </si>
  <si>
    <t>Friday</t>
  </si>
  <si>
    <t>Saturday</t>
  </si>
  <si>
    <t>Unit 3-3A</t>
  </si>
  <si>
    <t xml:space="preserve">Name:Julio Barros   </t>
  </si>
  <si>
    <t>EID:E01963387</t>
  </si>
  <si>
    <t>Length</t>
  </si>
  <si>
    <t>Width</t>
  </si>
  <si>
    <t>Area</t>
  </si>
  <si>
    <r>
      <t xml:space="preserve"> Projectile Motion Formula </t>
    </r>
    <r>
      <rPr>
        <b/>
        <sz val="11"/>
        <color theme="1"/>
        <rFont val="Calibri"/>
        <family val="2"/>
        <scheme val="minor"/>
      </rPr>
      <t>(trajectory formula)</t>
    </r>
  </si>
  <si>
    <t>Dr. Shay's Sample</t>
  </si>
  <si>
    <t>http://formulas.tutorvista.com/physics/projectile-motion-formula.html</t>
  </si>
  <si>
    <t>Initial Velocity Vo =</t>
  </si>
  <si>
    <t>m/s</t>
  </si>
  <si>
    <t>Initial Angle θ  =</t>
  </si>
  <si>
    <t>degree(s)</t>
  </si>
  <si>
    <t>radian(s)</t>
  </si>
  <si>
    <t>Gravitation (g) =</t>
  </si>
  <si>
    <t>m/s2</t>
  </si>
  <si>
    <t>Initial Velocity Vxo =</t>
  </si>
  <si>
    <t>Initial Velocity Vyo =</t>
  </si>
  <si>
    <t>At time t=</t>
  </si>
  <si>
    <t>sec</t>
  </si>
  <si>
    <t>Horizontal distance x =</t>
  </si>
  <si>
    <t>m</t>
  </si>
  <si>
    <t>Horizontal velocity Vx =</t>
  </si>
  <si>
    <t>Vertical distance y =</t>
  </si>
  <si>
    <t>Vertical velocity Vy =</t>
  </si>
  <si>
    <t>Time of flight t =</t>
  </si>
  <si>
    <t>Max height H =</t>
  </si>
  <si>
    <t>Horizontal range R =</t>
  </si>
  <si>
    <r>
      <t>Where V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is the initial Velocity,</t>
    </r>
  </si>
  <si>
    <r>
      <t>Where V</t>
    </r>
    <r>
      <rPr>
        <vertAlign val="subscript"/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>is the velocity along x-axis,</t>
    </r>
  </si>
  <si>
    <r>
      <t xml:space="preserve">          sin </t>
    </r>
    <r>
      <rPr>
        <i/>
        <sz val="13.2"/>
        <color theme="1"/>
        <rFont val="MathJax_Math"/>
      </rPr>
      <t>θ</t>
    </r>
    <r>
      <rPr>
        <sz val="11"/>
        <color theme="1"/>
        <rFont val="Calibri"/>
        <family val="2"/>
        <scheme val="minor"/>
      </rPr>
      <t xml:space="preserve"> is the component along y-axis,</t>
    </r>
  </si>
  <si>
    <r>
      <t>          V</t>
    </r>
    <r>
      <rPr>
        <vertAlign val="subscript"/>
        <sz val="11"/>
        <color theme="1"/>
        <rFont val="Calibri"/>
        <family val="2"/>
        <scheme val="minor"/>
      </rPr>
      <t>xo</t>
    </r>
    <r>
      <rPr>
        <sz val="11"/>
        <color theme="1"/>
        <rFont val="Calibri"/>
        <family val="2"/>
        <scheme val="minor"/>
      </rPr>
      <t xml:space="preserve"> is the initial velocity along x-axis,</t>
    </r>
  </si>
  <si>
    <r>
      <t xml:space="preserve">          cos </t>
    </r>
    <r>
      <rPr>
        <i/>
        <sz val="13.2"/>
        <color theme="1"/>
        <rFont val="MathJax_Math"/>
      </rPr>
      <t>θ</t>
    </r>
    <r>
      <rPr>
        <sz val="11"/>
        <color theme="1"/>
        <rFont val="Calibri"/>
        <family val="2"/>
        <scheme val="minor"/>
      </rPr>
      <t xml:space="preserve"> is the component along x-axis.</t>
    </r>
  </si>
  <si>
    <r>
      <t>          V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is the velocity along y-axis,</t>
    </r>
  </si>
  <si>
    <t>Note: Vxo is the same as Vox; same to Vyo = Voy</t>
  </si>
  <si>
    <r>
      <t>          V</t>
    </r>
    <r>
      <rPr>
        <vertAlign val="subscript"/>
        <sz val="11"/>
        <color theme="1"/>
        <rFont val="Calibri"/>
        <family val="2"/>
        <scheme val="minor"/>
      </rPr>
      <t>yo</t>
    </r>
    <r>
      <rPr>
        <sz val="11"/>
        <color theme="1"/>
        <rFont val="Calibri"/>
        <family val="2"/>
        <scheme val="minor"/>
      </rPr>
      <t xml:space="preserve"> is the initial velocity along y-axis.</t>
    </r>
  </si>
  <si>
    <t>          g is the acceleration due to gravity and</t>
  </si>
  <si>
    <t>          t is the time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</si>
</sst>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3.2"/>
      <color theme="1"/>
      <name val="MathJax_Math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0" xfId="0" applyNumberFormat="1"/>
    <xf numFmtId="0" fontId="7" fillId="0" borderId="0" xfId="2"/>
    <xf numFmtId="0" fontId="0" fillId="0" borderId="0" xfId="0" applyAlignment="1">
      <alignment horizontal="right"/>
    </xf>
    <xf numFmtId="2" fontId="8" fillId="0" borderId="0" xfId="0" applyNumberFormat="1" applyFont="1"/>
    <xf numFmtId="2" fontId="3" fillId="0" borderId="13" xfId="0" applyNumberFormat="1" applyFont="1" applyBorder="1"/>
    <xf numFmtId="164" fontId="0" fillId="0" borderId="0" xfId="0" applyNumberFormat="1"/>
    <xf numFmtId="2" fontId="0" fillId="0" borderId="0" xfId="0" applyNumberFormat="1"/>
    <xf numFmtId="2" fontId="3" fillId="0" borderId="14" xfId="0" applyNumberFormat="1" applyFont="1" applyBorder="1"/>
    <xf numFmtId="2" fontId="3" fillId="0" borderId="15" xfId="0" applyNumberFormat="1" applyFont="1" applyBorder="1"/>
    <xf numFmtId="2" fontId="3" fillId="0" borderId="16" xfId="0" applyNumberFormat="1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>
                  <a:lumMod val="75000"/>
                </a:schemeClr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[1]Sheet1!$E$6:$E$12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[1]Sheet1!$G$6:$G$12</c:f>
              <c:numCache>
                <c:formatCode>General</c:formatCode>
                <c:ptCount val="7"/>
                <c:pt idx="0">
                  <c:v>30</c:v>
                </c:pt>
                <c:pt idx="1">
                  <c:v>50</c:v>
                </c:pt>
                <c:pt idx="2">
                  <c:v>20</c:v>
                </c:pt>
                <c:pt idx="3">
                  <c:v>18</c:v>
                </c:pt>
                <c:pt idx="4">
                  <c:v>15</c:v>
                </c:pt>
                <c:pt idx="5">
                  <c:v>35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0-4C89-BFBC-269BCC60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81683208"/>
        <c:axId val="481684848"/>
      </c:barChart>
      <c:catAx>
        <c:axId val="4816832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84848"/>
        <c:crosses val="autoZero"/>
        <c:auto val="1"/>
        <c:lblAlgn val="ctr"/>
        <c:lblOffset val="100"/>
        <c:noMultiLvlLbl val="0"/>
      </c:catAx>
      <c:valAx>
        <c:axId val="481684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Centigrate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83208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[1]Sheet1!$E$6:$E$12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[1]Sheet1!$H$6:$H$12</c:f>
              <c:numCache>
                <c:formatCode>General</c:formatCode>
                <c:ptCount val="7"/>
                <c:pt idx="0">
                  <c:v>86</c:v>
                </c:pt>
                <c:pt idx="1">
                  <c:v>122</c:v>
                </c:pt>
                <c:pt idx="2">
                  <c:v>68</c:v>
                </c:pt>
                <c:pt idx="3">
                  <c:v>64.400000000000006</c:v>
                </c:pt>
                <c:pt idx="4">
                  <c:v>59</c:v>
                </c:pt>
                <c:pt idx="5">
                  <c:v>95</c:v>
                </c:pt>
                <c:pt idx="6">
                  <c:v>114.8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4-4002-8D3C-0FCAB06F0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479931440"/>
        <c:axId val="479931768"/>
        <c:axId val="0"/>
      </c:bar3DChart>
      <c:catAx>
        <c:axId val="47993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31768"/>
        <c:crosses val="autoZero"/>
        <c:auto val="1"/>
        <c:lblAlgn val="ctr"/>
        <c:lblOffset val="100"/>
        <c:noMultiLvlLbl val="0"/>
      </c:catAx>
      <c:valAx>
        <c:axId val="47993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Fahrenheit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3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123825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4E982CA0-1E2A-4E2F-8CF3-96F2AA38BEB0}"/>
            </a:ext>
          </a:extLst>
        </xdr:cNvPr>
        <xdr:cNvSpPr>
          <a:spLocks noChangeAspect="1" noChangeArrowheads="1"/>
        </xdr:cNvSpPr>
      </xdr:nvSpPr>
      <xdr:spPr bwMode="auto">
        <a:xfrm>
          <a:off x="5181600" y="19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3</xdr:row>
      <xdr:rowOff>0</xdr:rowOff>
    </xdr:from>
    <xdr:to>
      <xdr:col>14</xdr:col>
      <xdr:colOff>312420</xdr:colOff>
      <xdr:row>17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617A5-7E37-4610-8657-B23065626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17</xdr:row>
      <xdr:rowOff>0</xdr:rowOff>
    </xdr:from>
    <xdr:to>
      <xdr:col>14</xdr:col>
      <xdr:colOff>312420</xdr:colOff>
      <xdr:row>30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252739-C1E9-4C52-AE55-3F2654F50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12</xdr:col>
      <xdr:colOff>398486</xdr:colOff>
      <xdr:row>14</xdr:row>
      <xdr:rowOff>124179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5BBAF-226C-4D4D-9AAF-B130D9CEC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7263" y="0"/>
          <a:ext cx="4275161" cy="2657829"/>
        </a:xfrm>
        <a:prstGeom prst="rect">
          <a:avLst/>
        </a:prstGeom>
      </xdr:spPr>
    </xdr:pic>
    <xdr:clientData/>
  </xdr:twoCellAnchor>
  <xdr:twoCellAnchor editAs="oneCell">
    <xdr:from>
      <xdr:col>6</xdr:col>
      <xdr:colOff>6824</xdr:colOff>
      <xdr:row>17</xdr:row>
      <xdr:rowOff>47768</xdr:rowOff>
    </xdr:from>
    <xdr:to>
      <xdr:col>10</xdr:col>
      <xdr:colOff>98235</xdr:colOff>
      <xdr:row>22</xdr:row>
      <xdr:rowOff>102095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72DC95-63F1-4E1A-9619-46FCA02C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4087" y="3157681"/>
          <a:ext cx="2672686" cy="959202"/>
        </a:xfrm>
        <a:prstGeom prst="rect">
          <a:avLst/>
        </a:prstGeom>
      </xdr:spPr>
    </xdr:pic>
    <xdr:clientData/>
  </xdr:twoCellAnchor>
  <xdr:twoCellAnchor editAs="oneCell">
    <xdr:from>
      <xdr:col>11</xdr:col>
      <xdr:colOff>47767</xdr:colOff>
      <xdr:row>14</xdr:row>
      <xdr:rowOff>102357</xdr:rowOff>
    </xdr:from>
    <xdr:to>
      <xdr:col>15</xdr:col>
      <xdr:colOff>594566</xdr:colOff>
      <xdr:row>21</xdr:row>
      <xdr:rowOff>57292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F7B34E-541A-467E-9B56-4B74F7ED6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3530" y="2664582"/>
          <a:ext cx="3137599" cy="1221760"/>
        </a:xfrm>
        <a:prstGeom prst="rect">
          <a:avLst/>
        </a:prstGeom>
      </xdr:spPr>
    </xdr:pic>
    <xdr:clientData/>
  </xdr:twoCellAnchor>
  <xdr:twoCellAnchor editAs="oneCell">
    <xdr:from>
      <xdr:col>5</xdr:col>
      <xdr:colOff>573207</xdr:colOff>
      <xdr:row>14</xdr:row>
      <xdr:rowOff>129653</xdr:rowOff>
    </xdr:from>
    <xdr:to>
      <xdr:col>9</xdr:col>
      <xdr:colOff>190281</xdr:colOff>
      <xdr:row>17</xdr:row>
      <xdr:rowOff>25235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79AE8C-0228-49D8-9D22-D8E57D322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2770" y="2691878"/>
          <a:ext cx="2198349" cy="43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7z/Downloads/Project%203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6">
          <cell r="E6" t="str">
            <v>Sunday</v>
          </cell>
          <cell r="G6">
            <v>30</v>
          </cell>
          <cell r="H6">
            <v>86</v>
          </cell>
        </row>
        <row r="7">
          <cell r="E7" t="str">
            <v>Monday</v>
          </cell>
          <cell r="G7">
            <v>50</v>
          </cell>
          <cell r="H7">
            <v>122</v>
          </cell>
        </row>
        <row r="8">
          <cell r="E8" t="str">
            <v>Tuesday</v>
          </cell>
          <cell r="G8">
            <v>20</v>
          </cell>
          <cell r="H8">
            <v>68</v>
          </cell>
        </row>
        <row r="9">
          <cell r="E9" t="str">
            <v>Wednesday</v>
          </cell>
          <cell r="G9">
            <v>18</v>
          </cell>
          <cell r="H9">
            <v>64.400000000000006</v>
          </cell>
        </row>
        <row r="10">
          <cell r="E10" t="str">
            <v>Thursday</v>
          </cell>
          <cell r="G10">
            <v>15</v>
          </cell>
          <cell r="H10">
            <v>59</v>
          </cell>
        </row>
        <row r="11">
          <cell r="E11" t="str">
            <v>Friday</v>
          </cell>
          <cell r="G11">
            <v>35</v>
          </cell>
          <cell r="H11">
            <v>95</v>
          </cell>
        </row>
        <row r="12">
          <cell r="E12" t="str">
            <v>Saturday</v>
          </cell>
          <cell r="G12">
            <v>46</v>
          </cell>
          <cell r="H12">
            <v>114.8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formulas.tutorvista.com/physics/projectile-motion-formul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752F-D7F7-4FF6-85DF-31D26241D637}">
  <dimension ref="D3:H18"/>
  <sheetViews>
    <sheetView workbookViewId="0">
      <selection activeCell="B18" sqref="B18"/>
    </sheetView>
  </sheetViews>
  <sheetFormatPr defaultRowHeight="14.25"/>
  <cols>
    <col min="8" max="8" width="15.59765625" bestFit="1" customWidth="1"/>
  </cols>
  <sheetData>
    <row r="3" spans="4:8">
      <c r="E3" s="37" t="s">
        <v>21</v>
      </c>
      <c r="F3" s="37"/>
      <c r="G3" s="37"/>
    </row>
    <row r="4" spans="4:8">
      <c r="E4" s="37" t="s">
        <v>22</v>
      </c>
      <c r="F4" s="37"/>
      <c r="G4" s="37"/>
    </row>
    <row r="5" spans="4:8">
      <c r="E5" s="37" t="s">
        <v>23</v>
      </c>
      <c r="F5" s="37"/>
      <c r="G5" s="37"/>
    </row>
    <row r="7" spans="4:8">
      <c r="E7" s="4" t="s">
        <v>24</v>
      </c>
      <c r="F7" s="5" t="s">
        <v>25</v>
      </c>
      <c r="G7" s="6" t="s">
        <v>26</v>
      </c>
    </row>
    <row r="8" spans="4:8">
      <c r="D8" s="1">
        <v>1</v>
      </c>
      <c r="E8" s="4">
        <v>5</v>
      </c>
      <c r="F8" s="5">
        <v>4</v>
      </c>
      <c r="G8" s="7">
        <f>E8*F8</f>
        <v>20</v>
      </c>
      <c r="H8" s="8" t="str">
        <f>IF(G8&lt;=0,"Wrong Dimension",IF(G8&gt;=0,"Correct Dimension"))</f>
        <v>Correct Dimension</v>
      </c>
    </row>
    <row r="9" spans="4:8">
      <c r="D9" s="1">
        <v>2</v>
      </c>
      <c r="E9" s="4">
        <v>8</v>
      </c>
      <c r="F9" s="5">
        <v>8</v>
      </c>
      <c r="G9" s="7">
        <f t="shared" ref="G9:G17" si="0">E9*F9</f>
        <v>64</v>
      </c>
      <c r="H9" s="8" t="str">
        <f t="shared" ref="H9:H17" si="1">IF(G9&lt;=0,"Wrong Dimension",IF(G9&gt;=0,"Correct Dimension"))</f>
        <v>Correct Dimension</v>
      </c>
    </row>
    <row r="10" spans="4:8">
      <c r="D10" s="1">
        <v>3</v>
      </c>
      <c r="E10" s="4">
        <v>7</v>
      </c>
      <c r="F10" s="5">
        <v>-9</v>
      </c>
      <c r="G10" s="7">
        <f t="shared" si="0"/>
        <v>-63</v>
      </c>
      <c r="H10" s="9" t="str">
        <f t="shared" si="1"/>
        <v>Wrong Dimension</v>
      </c>
    </row>
    <row r="11" spans="4:8">
      <c r="D11" s="1">
        <v>4</v>
      </c>
      <c r="E11" s="4">
        <v>3</v>
      </c>
      <c r="F11" s="5">
        <v>6</v>
      </c>
      <c r="G11" s="7">
        <f t="shared" si="0"/>
        <v>18</v>
      </c>
      <c r="H11" s="8" t="str">
        <f t="shared" si="1"/>
        <v>Correct Dimension</v>
      </c>
    </row>
    <row r="12" spans="4:8">
      <c r="D12" s="1">
        <v>5</v>
      </c>
      <c r="E12" s="10">
        <v>2</v>
      </c>
      <c r="F12" s="5">
        <v>8</v>
      </c>
      <c r="G12" s="7">
        <f t="shared" si="0"/>
        <v>16</v>
      </c>
      <c r="H12" s="8" t="str">
        <f t="shared" si="1"/>
        <v>Correct Dimension</v>
      </c>
    </row>
    <row r="13" spans="4:8">
      <c r="D13" s="1">
        <v>6</v>
      </c>
      <c r="E13" s="10">
        <v>-12</v>
      </c>
      <c r="F13" s="5">
        <v>6</v>
      </c>
      <c r="G13" s="7">
        <f t="shared" si="0"/>
        <v>-72</v>
      </c>
      <c r="H13" s="9" t="str">
        <f t="shared" si="1"/>
        <v>Wrong Dimension</v>
      </c>
    </row>
    <row r="14" spans="4:8">
      <c r="D14" s="1">
        <v>7</v>
      </c>
      <c r="E14" s="10">
        <v>45</v>
      </c>
      <c r="F14" s="5">
        <v>7</v>
      </c>
      <c r="G14" s="7">
        <f t="shared" si="0"/>
        <v>315</v>
      </c>
      <c r="H14" s="8" t="str">
        <f t="shared" si="1"/>
        <v>Correct Dimension</v>
      </c>
    </row>
    <row r="15" spans="4:8">
      <c r="D15" s="1">
        <v>8</v>
      </c>
      <c r="E15" s="10">
        <v>3</v>
      </c>
      <c r="F15" s="5">
        <v>6</v>
      </c>
      <c r="G15" s="7">
        <f t="shared" si="0"/>
        <v>18</v>
      </c>
      <c r="H15" s="8" t="str">
        <f t="shared" si="1"/>
        <v>Correct Dimension</v>
      </c>
    </row>
    <row r="16" spans="4:8">
      <c r="D16" s="1">
        <v>9</v>
      </c>
      <c r="E16" s="10">
        <v>2</v>
      </c>
      <c r="F16" s="5">
        <v>25</v>
      </c>
      <c r="G16" s="11">
        <f t="shared" si="0"/>
        <v>50</v>
      </c>
      <c r="H16" s="8" t="str">
        <f t="shared" si="1"/>
        <v>Correct Dimension</v>
      </c>
    </row>
    <row r="17" spans="4:8">
      <c r="D17" s="1">
        <v>10</v>
      </c>
      <c r="E17" s="10">
        <v>-2</v>
      </c>
      <c r="F17" s="5">
        <v>5</v>
      </c>
      <c r="G17" s="7">
        <f t="shared" si="0"/>
        <v>-10</v>
      </c>
      <c r="H17" s="9" t="str">
        <f t="shared" si="1"/>
        <v>Wrong Dimension</v>
      </c>
    </row>
    <row r="18" spans="4:8">
      <c r="D18" s="1"/>
    </row>
  </sheetData>
  <mergeCells count="3">
    <mergeCell ref="E3:G3"/>
    <mergeCell ref="E4:G4"/>
    <mergeCell ref="E5:G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A9F1-B80F-4EE7-ABBA-5815B0CFE162}">
  <dimension ref="B1:F25"/>
  <sheetViews>
    <sheetView workbookViewId="0">
      <selection activeCell="B26" sqref="B26"/>
    </sheetView>
  </sheetViews>
  <sheetFormatPr defaultRowHeight="14.25"/>
  <cols>
    <col min="3" max="3" width="10.3984375" bestFit="1" customWidth="1"/>
    <col min="4" max="4" width="0" hidden="1" customWidth="1"/>
    <col min="5" max="5" width="12" bestFit="1" customWidth="1"/>
    <col min="6" max="6" width="12" customWidth="1"/>
  </cols>
  <sheetData>
    <row r="1" spans="3:6">
      <c r="C1" s="37" t="s">
        <v>8</v>
      </c>
      <c r="D1" s="37"/>
      <c r="E1" s="37"/>
      <c r="F1" s="37"/>
    </row>
    <row r="2" spans="3:6">
      <c r="C2" s="37" t="s">
        <v>9</v>
      </c>
      <c r="D2" s="37"/>
      <c r="E2" s="37"/>
      <c r="F2" s="37"/>
    </row>
    <row r="3" spans="3:6" ht="14.65" thickBot="1">
      <c r="C3" s="38" t="s">
        <v>10</v>
      </c>
      <c r="D3" s="38"/>
      <c r="E3" s="38"/>
      <c r="F3" s="38"/>
    </row>
    <row r="4" spans="3:6">
      <c r="C4" s="39" t="s">
        <v>11</v>
      </c>
      <c r="D4" s="12"/>
      <c r="E4" s="41" t="s">
        <v>12</v>
      </c>
      <c r="F4" s="43" t="s">
        <v>13</v>
      </c>
    </row>
    <row r="5" spans="3:6">
      <c r="C5" s="40"/>
      <c r="D5" s="2"/>
      <c r="E5" s="42"/>
      <c r="F5" s="44"/>
    </row>
    <row r="6" spans="3:6">
      <c r="C6" s="13" t="s">
        <v>14</v>
      </c>
      <c r="D6" s="2"/>
      <c r="E6" s="14">
        <v>30</v>
      </c>
      <c r="F6" s="15">
        <f>(E6*9/5)+32</f>
        <v>86</v>
      </c>
    </row>
    <row r="7" spans="3:6">
      <c r="C7" s="13" t="s">
        <v>15</v>
      </c>
      <c r="D7" s="2"/>
      <c r="E7" s="14">
        <v>50</v>
      </c>
      <c r="F7" s="15">
        <f t="shared" ref="F7:F12" si="0">CONVERT(E7,"C","F")</f>
        <v>122</v>
      </c>
    </row>
    <row r="8" spans="3:6">
      <c r="C8" s="13" t="s">
        <v>16</v>
      </c>
      <c r="D8" s="2"/>
      <c r="E8" s="14">
        <v>20</v>
      </c>
      <c r="F8" s="15">
        <f t="shared" si="0"/>
        <v>68</v>
      </c>
    </row>
    <row r="9" spans="3:6">
      <c r="C9" s="13" t="s">
        <v>17</v>
      </c>
      <c r="D9" s="2"/>
      <c r="E9" s="14">
        <v>18</v>
      </c>
      <c r="F9" s="15">
        <f t="shared" si="0"/>
        <v>64.400000000000006</v>
      </c>
    </row>
    <row r="10" spans="3:6">
      <c r="C10" s="13" t="s">
        <v>18</v>
      </c>
      <c r="D10" s="2"/>
      <c r="E10" s="14">
        <v>15</v>
      </c>
      <c r="F10" s="15">
        <f t="shared" si="0"/>
        <v>59</v>
      </c>
    </row>
    <row r="11" spans="3:6">
      <c r="C11" s="13" t="s">
        <v>19</v>
      </c>
      <c r="D11" s="2"/>
      <c r="E11" s="14">
        <v>35</v>
      </c>
      <c r="F11" s="15">
        <f t="shared" si="0"/>
        <v>95</v>
      </c>
    </row>
    <row r="12" spans="3:6" ht="14.65" thickBot="1">
      <c r="C12" s="16" t="s">
        <v>20</v>
      </c>
      <c r="D12" s="17"/>
      <c r="E12" s="18">
        <v>46</v>
      </c>
      <c r="F12" s="19">
        <f t="shared" si="0"/>
        <v>114.8</v>
      </c>
    </row>
    <row r="13" spans="3:6">
      <c r="C13" s="20"/>
      <c r="D13" s="20"/>
      <c r="E13" s="21"/>
      <c r="F13" s="21"/>
    </row>
    <row r="14" spans="3:6" ht="14.65" thickBot="1">
      <c r="C14" s="22"/>
      <c r="D14" s="22"/>
      <c r="E14" s="23"/>
      <c r="F14" s="23"/>
    </row>
    <row r="15" spans="3:6">
      <c r="C15" s="24" t="s">
        <v>5</v>
      </c>
      <c r="D15" s="12"/>
      <c r="E15" s="25">
        <f>AVERAGE(E6:E12)</f>
        <v>30.571428571428573</v>
      </c>
      <c r="F15" s="26">
        <f>AVERAGE(F6:F12)</f>
        <v>87.028571428571425</v>
      </c>
    </row>
    <row r="16" spans="3:6">
      <c r="C16" s="13" t="s">
        <v>3</v>
      </c>
      <c r="D16" s="2"/>
      <c r="E16" s="14">
        <f>MAX(E6:E12)</f>
        <v>50</v>
      </c>
      <c r="F16" s="15">
        <f>MAX(F6:F12)</f>
        <v>122</v>
      </c>
    </row>
    <row r="17" spans="2:6" ht="14.65" thickBot="1">
      <c r="C17" s="16" t="s">
        <v>4</v>
      </c>
      <c r="D17" s="17"/>
      <c r="E17" s="18">
        <f>MIN(E6:E12)</f>
        <v>15</v>
      </c>
      <c r="F17" s="19">
        <f>MIN(F6:F12)</f>
        <v>59</v>
      </c>
    </row>
    <row r="25" spans="2:6">
      <c r="B25" s="27"/>
    </row>
  </sheetData>
  <mergeCells count="6">
    <mergeCell ref="C1:F1"/>
    <mergeCell ref="C2:F2"/>
    <mergeCell ref="C3:F3"/>
    <mergeCell ref="C4:C5"/>
    <mergeCell ref="E4:E5"/>
    <mergeCell ref="F4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8215-24C8-4F69-BC78-5C9F8AE11323}">
  <dimension ref="D1:G23"/>
  <sheetViews>
    <sheetView workbookViewId="0">
      <selection activeCell="E2" sqref="E2:F2"/>
    </sheetView>
  </sheetViews>
  <sheetFormatPr defaultRowHeight="14.25"/>
  <cols>
    <col min="4" max="4" width="12.19921875" bestFit="1" customWidth="1"/>
    <col min="6" max="6" width="12.46484375" bestFit="1" customWidth="1"/>
    <col min="7" max="7" width="10.1328125" bestFit="1" customWidth="1"/>
  </cols>
  <sheetData>
    <row r="1" spans="4:7">
      <c r="E1" s="45" t="s">
        <v>6</v>
      </c>
      <c r="F1" s="45"/>
    </row>
    <row r="2" spans="4:7">
      <c r="E2" s="45" t="s">
        <v>7</v>
      </c>
      <c r="F2" s="45"/>
    </row>
    <row r="5" spans="4:7">
      <c r="D5" s="2" t="s">
        <v>0</v>
      </c>
      <c r="E5" s="2" t="s">
        <v>1</v>
      </c>
      <c r="F5" s="2" t="s">
        <v>2</v>
      </c>
      <c r="G5" s="2"/>
    </row>
    <row r="6" spans="4:7">
      <c r="D6" s="2"/>
      <c r="E6" s="2"/>
      <c r="F6" s="2"/>
      <c r="G6" s="2"/>
    </row>
    <row r="7" spans="4:7">
      <c r="D7" s="2">
        <v>1</v>
      </c>
      <c r="E7" s="3">
        <v>15</v>
      </c>
      <c r="F7" s="3">
        <f>E7*2*PI()/60</f>
        <v>1.5707963267948963</v>
      </c>
      <c r="G7" s="2" t="str">
        <f>IF(E7&lt;28,"Too Slow",IF(E7&gt;65,"Too Fast","Good Speed"))</f>
        <v>Too Slow</v>
      </c>
    </row>
    <row r="8" spans="4:7">
      <c r="D8" s="2">
        <v>2</v>
      </c>
      <c r="E8" s="3">
        <v>25</v>
      </c>
      <c r="F8" s="3">
        <f t="shared" ref="F8:F18" si="0">E8*0.10472</f>
        <v>2.6179999999999999</v>
      </c>
      <c r="G8" s="2" t="str">
        <f t="shared" ref="G8:G18" si="1">IF(E8&lt;28,"Too Slow",IF(E8&gt;65,"Too Fast","Good Speed"))</f>
        <v>Too Slow</v>
      </c>
    </row>
    <row r="9" spans="4:7">
      <c r="D9" s="2">
        <v>3</v>
      </c>
      <c r="E9" s="3">
        <v>30</v>
      </c>
      <c r="F9" s="3">
        <f t="shared" si="0"/>
        <v>3.1415999999999999</v>
      </c>
      <c r="G9" s="2" t="str">
        <f t="shared" si="1"/>
        <v>Good Speed</v>
      </c>
    </row>
    <row r="10" spans="4:7">
      <c r="D10" s="2">
        <v>4</v>
      </c>
      <c r="E10" s="3">
        <v>10</v>
      </c>
      <c r="F10" s="3">
        <f t="shared" si="0"/>
        <v>1.0471999999999999</v>
      </c>
      <c r="G10" s="2" t="str">
        <f t="shared" si="1"/>
        <v>Too Slow</v>
      </c>
    </row>
    <row r="11" spans="4:7">
      <c r="D11" s="2">
        <v>5</v>
      </c>
      <c r="E11" s="3">
        <v>40</v>
      </c>
      <c r="F11" s="3">
        <f t="shared" si="0"/>
        <v>4.1887999999999996</v>
      </c>
      <c r="G11" s="2" t="str">
        <f t="shared" si="1"/>
        <v>Good Speed</v>
      </c>
    </row>
    <row r="12" spans="4:7">
      <c r="D12" s="2">
        <v>6</v>
      </c>
      <c r="E12" s="3">
        <v>45</v>
      </c>
      <c r="F12" s="3">
        <f t="shared" si="0"/>
        <v>4.7123999999999997</v>
      </c>
      <c r="G12" s="2" t="str">
        <f t="shared" si="1"/>
        <v>Good Speed</v>
      </c>
    </row>
    <row r="13" spans="4:7">
      <c r="D13" s="2">
        <v>7</v>
      </c>
      <c r="E13" s="3">
        <v>60</v>
      </c>
      <c r="F13" s="3">
        <f t="shared" si="0"/>
        <v>6.2831999999999999</v>
      </c>
      <c r="G13" s="2" t="str">
        <f t="shared" si="1"/>
        <v>Good Speed</v>
      </c>
    </row>
    <row r="14" spans="4:7">
      <c r="D14" s="2">
        <v>8</v>
      </c>
      <c r="E14" s="3">
        <v>70</v>
      </c>
      <c r="F14" s="3">
        <f t="shared" si="0"/>
        <v>7.3303999999999991</v>
      </c>
      <c r="G14" s="2" t="str">
        <f t="shared" si="1"/>
        <v>Too Fast</v>
      </c>
    </row>
    <row r="15" spans="4:7">
      <c r="D15" s="2">
        <v>9</v>
      </c>
      <c r="E15" s="3">
        <v>27</v>
      </c>
      <c r="F15" s="3">
        <f t="shared" si="0"/>
        <v>2.8274399999999997</v>
      </c>
      <c r="G15" s="2" t="str">
        <f t="shared" si="1"/>
        <v>Too Slow</v>
      </c>
    </row>
    <row r="16" spans="4:7">
      <c r="D16" s="2">
        <v>10</v>
      </c>
      <c r="E16" s="3">
        <v>42</v>
      </c>
      <c r="F16" s="3">
        <f t="shared" si="0"/>
        <v>4.3982399999999995</v>
      </c>
      <c r="G16" s="2" t="str">
        <f t="shared" si="1"/>
        <v>Good Speed</v>
      </c>
    </row>
    <row r="17" spans="4:7">
      <c r="D17" s="2">
        <v>11</v>
      </c>
      <c r="E17" s="3">
        <v>90</v>
      </c>
      <c r="F17" s="3">
        <f t="shared" si="0"/>
        <v>9.4247999999999994</v>
      </c>
      <c r="G17" s="2" t="str">
        <f t="shared" si="1"/>
        <v>Too Fast</v>
      </c>
    </row>
    <row r="18" spans="4:7">
      <c r="D18" s="2">
        <v>12</v>
      </c>
      <c r="E18" s="3">
        <v>85</v>
      </c>
      <c r="F18" s="3">
        <f t="shared" si="0"/>
        <v>8.9011999999999993</v>
      </c>
      <c r="G18" s="2" t="str">
        <f t="shared" si="1"/>
        <v>Too Fast</v>
      </c>
    </row>
    <row r="19" spans="4:7">
      <c r="D19" s="2"/>
      <c r="E19" s="2"/>
      <c r="F19" s="2"/>
      <c r="G19" s="2"/>
    </row>
    <row r="20" spans="4:7">
      <c r="D20" s="2" t="s">
        <v>5</v>
      </c>
      <c r="E20" s="3">
        <f>AVERAGE(E7:E18)</f>
        <v>44.916666666666664</v>
      </c>
      <c r="F20" s="3">
        <f>AVERAGE(F7:F18)</f>
        <v>4.7036730272329086</v>
      </c>
      <c r="G20" s="2"/>
    </row>
    <row r="21" spans="4:7">
      <c r="D21" s="2" t="s">
        <v>3</v>
      </c>
      <c r="E21" s="3">
        <f>MAX(E7:E18)</f>
        <v>90</v>
      </c>
      <c r="F21" s="3">
        <f>MAX(F7:F18)</f>
        <v>9.4247999999999994</v>
      </c>
      <c r="G21" s="2"/>
    </row>
    <row r="22" spans="4:7">
      <c r="D22" s="2" t="s">
        <v>4</v>
      </c>
      <c r="E22" s="3">
        <f>MIN(E7:E18)</f>
        <v>10</v>
      </c>
      <c r="F22" s="3">
        <f>MIN(F7:F18)</f>
        <v>1.0471999999999999</v>
      </c>
      <c r="G22" s="2"/>
    </row>
    <row r="23" spans="4:7">
      <c r="D23" s="1"/>
      <c r="E23" s="1"/>
      <c r="F23" s="1"/>
      <c r="G23" s="1"/>
    </row>
  </sheetData>
  <mergeCells count="2">
    <mergeCell ref="E1:F1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BDDF-ECC6-42DA-B041-AB17FC85786F}">
  <dimension ref="A1:N29"/>
  <sheetViews>
    <sheetView tabSelected="1" workbookViewId="0">
      <selection activeCell="B7" sqref="B7"/>
    </sheetView>
  </sheetViews>
  <sheetFormatPr defaultRowHeight="14.25"/>
  <cols>
    <col min="1" max="1" width="21.3984375" customWidth="1"/>
    <col min="8" max="8" width="8.9296875" customWidth="1"/>
  </cols>
  <sheetData>
    <row r="1" spans="1:14">
      <c r="A1" t="s">
        <v>27</v>
      </c>
      <c r="E1" t="s">
        <v>28</v>
      </c>
      <c r="N1" s="28" t="s">
        <v>29</v>
      </c>
    </row>
    <row r="3" spans="1:14" ht="14.65" thickBot="1">
      <c r="A3" s="29" t="s">
        <v>30</v>
      </c>
      <c r="B3" s="30">
        <v>40</v>
      </c>
      <c r="C3" t="s">
        <v>31</v>
      </c>
    </row>
    <row r="4" spans="1:14" ht="14.65" thickBot="1">
      <c r="A4" s="29" t="s">
        <v>32</v>
      </c>
      <c r="B4" s="30">
        <v>70</v>
      </c>
      <c r="C4" t="s">
        <v>33</v>
      </c>
      <c r="D4" s="31">
        <f>B4*PI()/180</f>
        <v>1.2217304763960306</v>
      </c>
      <c r="E4" t="s">
        <v>34</v>
      </c>
    </row>
    <row r="5" spans="1:14">
      <c r="A5" s="29" t="s">
        <v>35</v>
      </c>
      <c r="B5" s="32">
        <v>9.8066499999999994</v>
      </c>
      <c r="C5" t="s">
        <v>36</v>
      </c>
    </row>
    <row r="6" spans="1:14" ht="14.65" thickBot="1">
      <c r="A6" s="29"/>
      <c r="B6" s="33"/>
    </row>
    <row r="7" spans="1:14">
      <c r="A7" s="29" t="s">
        <v>37</v>
      </c>
      <c r="B7" s="34">
        <f>B3*COS(D4)</f>
        <v>13.680805733026753</v>
      </c>
      <c r="C7" t="s">
        <v>31</v>
      </c>
    </row>
    <row r="8" spans="1:14" ht="14.65" thickBot="1">
      <c r="A8" s="29" t="s">
        <v>38</v>
      </c>
      <c r="B8" s="35">
        <f>B3*SIN(D4)</f>
        <v>37.587704831436334</v>
      </c>
      <c r="C8" t="s">
        <v>31</v>
      </c>
    </row>
    <row r="9" spans="1:14">
      <c r="A9" s="29"/>
    </row>
    <row r="10" spans="1:14" ht="14.65" thickBot="1">
      <c r="A10" s="29" t="s">
        <v>39</v>
      </c>
      <c r="B10" s="30">
        <v>7</v>
      </c>
      <c r="C10" t="s">
        <v>40</v>
      </c>
    </row>
    <row r="11" spans="1:14">
      <c r="A11" s="29" t="s">
        <v>41</v>
      </c>
      <c r="B11" s="34">
        <f>B7*B10</f>
        <v>95.765640131187268</v>
      </c>
      <c r="C11" t="s">
        <v>42</v>
      </c>
    </row>
    <row r="12" spans="1:14">
      <c r="A12" s="29" t="s">
        <v>43</v>
      </c>
      <c r="B12" s="36">
        <f>B7</f>
        <v>13.680805733026753</v>
      </c>
      <c r="C12" t="s">
        <v>31</v>
      </c>
    </row>
    <row r="13" spans="1:14">
      <c r="A13" s="29" t="s">
        <v>44</v>
      </c>
      <c r="B13" s="36">
        <f>B8*B10-(0.5*B5*B10^2)</f>
        <v>22.851008820054346</v>
      </c>
      <c r="C13" t="s">
        <v>42</v>
      </c>
    </row>
    <row r="14" spans="1:14" ht="14.65" thickBot="1">
      <c r="A14" s="29" t="s">
        <v>45</v>
      </c>
      <c r="B14" s="35">
        <f>B8-B5*B10</f>
        <v>-31.058845168563657</v>
      </c>
      <c r="C14" t="s">
        <v>31</v>
      </c>
    </row>
    <row r="15" spans="1:14" ht="14.65" thickBot="1">
      <c r="A15" s="29"/>
    </row>
    <row r="16" spans="1:14">
      <c r="A16" s="29" t="s">
        <v>46</v>
      </c>
      <c r="B16" s="34">
        <f>2*B3*SIN(D4)/B5</f>
        <v>7.6657584050488872</v>
      </c>
      <c r="C16" t="s">
        <v>40</v>
      </c>
    </row>
    <row r="17" spans="1:12">
      <c r="A17" s="29" t="s">
        <v>47</v>
      </c>
      <c r="B17" s="36">
        <f>B3^2*SIN(D4)^2/(2*B5)</f>
        <v>72.034566059519932</v>
      </c>
      <c r="C17" t="s">
        <v>42</v>
      </c>
    </row>
    <row r="18" spans="1:12" ht="14.65" thickBot="1">
      <c r="A18" s="29" t="s">
        <v>48</v>
      </c>
      <c r="B18" s="35">
        <f>(B3^2*SIN(D4*2)/B5)</f>
        <v>104.87375153579083</v>
      </c>
      <c r="C18" t="s">
        <v>42</v>
      </c>
    </row>
    <row r="23" spans="1:12" ht="15.75">
      <c r="L23" t="s">
        <v>49</v>
      </c>
    </row>
    <row r="24" spans="1:12" ht="17.25">
      <c r="G24" t="s">
        <v>50</v>
      </c>
      <c r="L24" t="s">
        <v>51</v>
      </c>
    </row>
    <row r="25" spans="1:12" ht="17.25">
      <c r="G25" t="s">
        <v>52</v>
      </c>
      <c r="L25" t="s">
        <v>53</v>
      </c>
    </row>
    <row r="26" spans="1:12" ht="15.75">
      <c r="G26" t="s">
        <v>54</v>
      </c>
      <c r="L26" t="s">
        <v>55</v>
      </c>
    </row>
    <row r="27" spans="1:12" ht="15.75">
      <c r="G27" t="s">
        <v>56</v>
      </c>
    </row>
    <row r="28" spans="1:12">
      <c r="G28" t="s">
        <v>57</v>
      </c>
    </row>
    <row r="29" spans="1:12">
      <c r="G29" t="s">
        <v>58</v>
      </c>
    </row>
  </sheetData>
  <hyperlinks>
    <hyperlink ref="N1" r:id="rId1" xr:uid="{AF95819D-4B01-478A-B3F7-31C0DCACC89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3 - 3A</vt:lpstr>
      <vt:lpstr>Unit 3 - 3B</vt:lpstr>
      <vt:lpstr>Unit 3 - 3C</vt:lpstr>
      <vt:lpstr>Unit 3 - 3D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K7z</dc:creator>
  <cp:lastModifiedBy>K7z</cp:lastModifiedBy>
  <dcterms:created xsi:type="dcterms:W3CDTF">2019-09-24T16:23:53Z</dcterms:created>
  <dcterms:modified xsi:type="dcterms:W3CDTF">2019-09-26T15:12:29Z</dcterms:modified>
</cp:coreProperties>
</file>