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AppData\Local\Temp\Rar$DIa2584.11570\"/>
    </mc:Choice>
  </mc:AlternateContent>
  <xr:revisionPtr revIDLastSave="0" documentId="13_ncr:1_{356B447B-7941-4193-A2B3-4DFA997C4FDB}" xr6:coauthVersionLast="41" xr6:coauthVersionMax="41" xr10:uidLastSave="{00000000-0000-0000-0000-000000000000}"/>
  <bookViews>
    <workbookView xWindow="-108" yWindow="-108" windowWidth="23256" windowHeight="12576" xr2:uid="{DF1214AA-1882-4AA3-A814-72997145D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9" i="1" l="1"/>
  <c r="V9" i="1"/>
  <c r="Z10" i="1" l="1"/>
  <c r="Z11" i="1"/>
  <c r="Z12" i="1"/>
  <c r="Z13" i="1"/>
  <c r="X10" i="1"/>
  <c r="X11" i="1"/>
  <c r="X12" i="1"/>
  <c r="X13" i="1"/>
  <c r="X9" i="1"/>
  <c r="Z9" i="1" s="1"/>
  <c r="V10" i="1"/>
  <c r="V11" i="1"/>
  <c r="V12" i="1"/>
  <c r="V13" i="1"/>
  <c r="N10" i="1"/>
  <c r="N11" i="1"/>
  <c r="N12" i="1"/>
  <c r="N13" i="1"/>
</calcChain>
</file>

<file path=xl/sharedStrings.xml><?xml version="1.0" encoding="utf-8"?>
<sst xmlns="http://schemas.openxmlformats.org/spreadsheetml/2006/main" count="39" uniqueCount="39">
  <si>
    <t>No</t>
  </si>
  <si>
    <t>Student Name</t>
  </si>
  <si>
    <t>Assignment</t>
  </si>
  <si>
    <t>Avg (Assignments)</t>
  </si>
  <si>
    <t>Test</t>
  </si>
  <si>
    <t>Avg (Tests)</t>
  </si>
  <si>
    <t>Final Grade</t>
  </si>
  <si>
    <t>First</t>
  </si>
  <si>
    <t>Last</t>
  </si>
  <si>
    <t>A1</t>
  </si>
  <si>
    <t>A2</t>
  </si>
  <si>
    <t>A3</t>
  </si>
  <si>
    <t>A4</t>
  </si>
  <si>
    <t>A5</t>
  </si>
  <si>
    <t>A</t>
  </si>
  <si>
    <t>T1</t>
  </si>
  <si>
    <t>T2</t>
  </si>
  <si>
    <t>T3</t>
  </si>
  <si>
    <t>T</t>
  </si>
  <si>
    <t>Julio</t>
  </si>
  <si>
    <t>Matheus</t>
  </si>
  <si>
    <t>Enzo</t>
  </si>
  <si>
    <t>Megan</t>
  </si>
  <si>
    <t>Caio</t>
  </si>
  <si>
    <t>GradeLetter</t>
  </si>
  <si>
    <t>Name:Julio Barros</t>
  </si>
  <si>
    <t>Barros</t>
  </si>
  <si>
    <t>Dino</t>
  </si>
  <si>
    <t>Sevenz</t>
  </si>
  <si>
    <t>Pino</t>
  </si>
  <si>
    <t>Manco</t>
  </si>
  <si>
    <t>EID:1963387</t>
  </si>
  <si>
    <t>Formulas</t>
  </si>
  <si>
    <t>Avg(Assigments) =Average(H9,I9,J9,K9)</t>
  </si>
  <si>
    <t>Avg(Tests)=Average(Q9,R9,S9)</t>
  </si>
  <si>
    <t>Final Grade=N9+V9/2</t>
  </si>
  <si>
    <t>GradeLetter=IF(X9&gt;=90,"A",IF(X9&gt;=80,"B",IF(X9&gt;=70,"C","Below C")))</t>
  </si>
  <si>
    <t>Grading of a Course</t>
  </si>
  <si>
    <t>College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</si>
</sst>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 textRotation="45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(Sheet1!$E$9,Sheet1!$E$10,Sheet1!$E$11,Sheet1!$E$12,Sheet1!$E$13)</c:f>
              <c:strCache>
                <c:ptCount val="5"/>
                <c:pt idx="0">
                  <c:v>Julio</c:v>
                </c:pt>
                <c:pt idx="1">
                  <c:v>Matheus</c:v>
                </c:pt>
                <c:pt idx="2">
                  <c:v>Enzo</c:v>
                </c:pt>
                <c:pt idx="3">
                  <c:v>Megan</c:v>
                </c:pt>
                <c:pt idx="4">
                  <c:v>Caio</c:v>
                </c:pt>
              </c:strCache>
            </c:strRef>
          </c:cat>
          <c:val>
            <c:numRef>
              <c:f>(Sheet1!$I$9,Sheet1!$I$10,Sheet1!$I$11,Sheet1!$I$12,Sheet1!$I$13)</c:f>
              <c:numCache>
                <c:formatCode>General</c:formatCode>
                <c:ptCount val="5"/>
                <c:pt idx="0">
                  <c:v>49</c:v>
                </c:pt>
                <c:pt idx="1">
                  <c:v>36</c:v>
                </c:pt>
                <c:pt idx="2">
                  <c:v>32</c:v>
                </c:pt>
                <c:pt idx="3">
                  <c:v>50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2-467E-8BE7-764817535B81}"/>
            </c:ext>
          </c:extLst>
        </c:ser>
        <c:ser>
          <c:idx val="1"/>
          <c:order val="1"/>
          <c:tx>
            <c:v>A3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(Sheet1!$E$9,Sheet1!$E$10,Sheet1!$E$11,Sheet1!$E$12,Sheet1!$E$13)</c:f>
              <c:strCache>
                <c:ptCount val="5"/>
                <c:pt idx="0">
                  <c:v>Julio</c:v>
                </c:pt>
                <c:pt idx="1">
                  <c:v>Matheus</c:v>
                </c:pt>
                <c:pt idx="2">
                  <c:v>Enzo</c:v>
                </c:pt>
                <c:pt idx="3">
                  <c:v>Megan</c:v>
                </c:pt>
                <c:pt idx="4">
                  <c:v>Caio</c:v>
                </c:pt>
              </c:strCache>
            </c:strRef>
          </c:cat>
          <c:val>
            <c:numRef>
              <c:f>(Sheet1!$J$9,Sheet1!$J$10,Sheet1!$J$11,Sheet1!$J$12,Sheet1!$J$13)</c:f>
              <c:numCache>
                <c:formatCode>General</c:formatCode>
                <c:ptCount val="5"/>
                <c:pt idx="0">
                  <c:v>40</c:v>
                </c:pt>
                <c:pt idx="1">
                  <c:v>48</c:v>
                </c:pt>
                <c:pt idx="2">
                  <c:v>39</c:v>
                </c:pt>
                <c:pt idx="3">
                  <c:v>49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2-467E-8BE7-764817535B81}"/>
            </c:ext>
          </c:extLst>
        </c:ser>
        <c:ser>
          <c:idx val="2"/>
          <c:order val="2"/>
          <c:tx>
            <c:v>T2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(Sheet1!$E$9,Sheet1!$E$10,Sheet1!$E$11,Sheet1!$E$12,Sheet1!$E$13)</c:f>
              <c:strCache>
                <c:ptCount val="5"/>
                <c:pt idx="0">
                  <c:v>Julio</c:v>
                </c:pt>
                <c:pt idx="1">
                  <c:v>Matheus</c:v>
                </c:pt>
                <c:pt idx="2">
                  <c:v>Enzo</c:v>
                </c:pt>
                <c:pt idx="3">
                  <c:v>Megan</c:v>
                </c:pt>
                <c:pt idx="4">
                  <c:v>Caio</c:v>
                </c:pt>
              </c:strCache>
            </c:strRef>
          </c:cat>
          <c:val>
            <c:numRef>
              <c:f>(Sheet1!$R$9,Sheet1!$R$10,Sheet1!$R$11,Sheet1!$R$12,Sheet1!$R$13)</c:f>
              <c:numCache>
                <c:formatCode>General</c:formatCode>
                <c:ptCount val="5"/>
                <c:pt idx="0">
                  <c:v>85</c:v>
                </c:pt>
                <c:pt idx="1">
                  <c:v>85</c:v>
                </c:pt>
                <c:pt idx="2">
                  <c:v>80</c:v>
                </c:pt>
                <c:pt idx="3">
                  <c:v>100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2-467E-8BE7-764817535B81}"/>
            </c:ext>
          </c:extLst>
        </c:ser>
        <c:ser>
          <c:idx val="3"/>
          <c:order val="3"/>
          <c:tx>
            <c:v>T3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(Sheet1!$E$9,Sheet1!$E$10,Sheet1!$E$11,Sheet1!$E$12,Sheet1!$E$13)</c:f>
              <c:strCache>
                <c:ptCount val="5"/>
                <c:pt idx="0">
                  <c:v>Julio</c:v>
                </c:pt>
                <c:pt idx="1">
                  <c:v>Matheus</c:v>
                </c:pt>
                <c:pt idx="2">
                  <c:v>Enzo</c:v>
                </c:pt>
                <c:pt idx="3">
                  <c:v>Megan</c:v>
                </c:pt>
                <c:pt idx="4">
                  <c:v>Caio</c:v>
                </c:pt>
              </c:strCache>
            </c:strRef>
          </c:cat>
          <c:val>
            <c:numRef>
              <c:f>(Sheet1!$S$9,Sheet1!$S$10,Sheet1!$S$11,Sheet1!$S$12,Sheet1!$S$13)</c:f>
              <c:numCache>
                <c:formatCode>General</c:formatCode>
                <c:ptCount val="5"/>
                <c:pt idx="0">
                  <c:v>100</c:v>
                </c:pt>
                <c:pt idx="1">
                  <c:v>60</c:v>
                </c:pt>
                <c:pt idx="2">
                  <c:v>90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2-467E-8BE7-764817535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8218264"/>
        <c:axId val="1258219904"/>
        <c:axId val="1255876392"/>
      </c:bar3DChart>
      <c:catAx>
        <c:axId val="125821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19904"/>
        <c:crosses val="autoZero"/>
        <c:auto val="1"/>
        <c:lblAlgn val="ctr"/>
        <c:lblOffset val="100"/>
        <c:noMultiLvlLbl val="0"/>
      </c:catAx>
      <c:valAx>
        <c:axId val="12582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18264"/>
        <c:crosses val="autoZero"/>
        <c:crossBetween val="between"/>
      </c:valAx>
      <c:serAx>
        <c:axId val="1255876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199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Sheet1!$N$8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Sheet1!$E$9:$E$13</c:f>
              <c:strCache>
                <c:ptCount val="5"/>
                <c:pt idx="0">
                  <c:v>Julio</c:v>
                </c:pt>
                <c:pt idx="1">
                  <c:v>Matheus</c:v>
                </c:pt>
                <c:pt idx="2">
                  <c:v>Enzo</c:v>
                </c:pt>
                <c:pt idx="3">
                  <c:v>Megan</c:v>
                </c:pt>
                <c:pt idx="4">
                  <c:v>Caio</c:v>
                </c:pt>
              </c:strCache>
            </c:strRef>
          </c:cat>
          <c:val>
            <c:numRef>
              <c:f>Sheet1!$N$9:$N$13</c:f>
              <c:numCache>
                <c:formatCode>0.00</c:formatCode>
                <c:ptCount val="5"/>
                <c:pt idx="0">
                  <c:v>46.4</c:v>
                </c:pt>
                <c:pt idx="1">
                  <c:v>36.6</c:v>
                </c:pt>
                <c:pt idx="2">
                  <c:v>33.200000000000003</c:v>
                </c:pt>
                <c:pt idx="3">
                  <c:v>49.8</c:v>
                </c:pt>
                <c:pt idx="4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6-4E62-911A-492DA65ADDB1}"/>
            </c:ext>
          </c:extLst>
        </c:ser>
        <c:ser>
          <c:idx val="2"/>
          <c:order val="1"/>
          <c:tx>
            <c:strRef>
              <c:f>Sheet1!$V$8</c:f>
              <c:strCache>
                <c:ptCount val="1"/>
                <c:pt idx="0">
                  <c:v>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Sheet1!$E$9:$E$13</c:f>
              <c:strCache>
                <c:ptCount val="5"/>
                <c:pt idx="0">
                  <c:v>Julio</c:v>
                </c:pt>
                <c:pt idx="1">
                  <c:v>Matheus</c:v>
                </c:pt>
                <c:pt idx="2">
                  <c:v>Enzo</c:v>
                </c:pt>
                <c:pt idx="3">
                  <c:v>Megan</c:v>
                </c:pt>
                <c:pt idx="4">
                  <c:v>Caio</c:v>
                </c:pt>
              </c:strCache>
            </c:strRef>
          </c:cat>
          <c:val>
            <c:numRef>
              <c:f>Sheet1!$V$9:$V$13</c:f>
              <c:numCache>
                <c:formatCode>0.00</c:formatCode>
                <c:ptCount val="5"/>
                <c:pt idx="0">
                  <c:v>93.333333333333329</c:v>
                </c:pt>
                <c:pt idx="1">
                  <c:v>71.666666666666671</c:v>
                </c:pt>
                <c:pt idx="2">
                  <c:v>76.666666666666671</c:v>
                </c:pt>
                <c:pt idx="3">
                  <c:v>88.333333333333329</c:v>
                </c:pt>
                <c:pt idx="4">
                  <c:v>73.333333333333329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6-4E62-911A-492DA65AD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95941472"/>
        <c:axId val="695941800"/>
        <c:axId val="0"/>
      </c:bar3DChart>
      <c:catAx>
        <c:axId val="69594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41800"/>
        <c:crosses val="autoZero"/>
        <c:auto val="1"/>
        <c:lblAlgn val="ctr"/>
        <c:lblOffset val="100"/>
        <c:noMultiLvlLbl val="0"/>
      </c:catAx>
      <c:valAx>
        <c:axId val="69594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20</xdr:row>
      <xdr:rowOff>167640</xdr:rowOff>
    </xdr:from>
    <xdr:to>
      <xdr:col>14</xdr:col>
      <xdr:colOff>7620</xdr:colOff>
      <xdr:row>36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F83D7D-D020-4F2E-9908-D0931B11E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365760</xdr:colOff>
      <xdr:row>21</xdr:row>
      <xdr:rowOff>15240</xdr:rowOff>
    </xdr:from>
    <xdr:to>
      <xdr:col>26</xdr:col>
      <xdr:colOff>518160</xdr:colOff>
      <xdr:row>36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40E3B0-122D-46EA-8CA7-E400904A4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2D3F-2E28-4BBB-9464-22CDEBF06431}">
  <dimension ref="C1:AA20"/>
  <sheetViews>
    <sheetView tabSelected="1" topLeftCell="B1" workbookViewId="0">
      <selection activeCell="K3" sqref="K3:O3"/>
    </sheetView>
  </sheetViews>
  <sheetFormatPr defaultRowHeight="14.4" x14ac:dyDescent="0.3"/>
  <cols>
    <col min="3" max="3" width="16" bestFit="1" customWidth="1"/>
    <col min="7" max="7" width="0" hidden="1" customWidth="1"/>
    <col min="13" max="13" width="0" hidden="1" customWidth="1"/>
    <col min="16" max="16" width="0" hidden="1" customWidth="1"/>
    <col min="20" max="21" width="0" hidden="1" customWidth="1"/>
    <col min="22" max="22" width="11.5546875" bestFit="1" customWidth="1"/>
    <col min="23" max="23" width="0" hidden="1" customWidth="1"/>
    <col min="24" max="24" width="11.5546875" bestFit="1" customWidth="1"/>
    <col min="25" max="25" width="0" hidden="1" customWidth="1"/>
  </cols>
  <sheetData>
    <row r="1" spans="3:27" x14ac:dyDescent="0.3">
      <c r="C1" s="14" t="s">
        <v>25</v>
      </c>
    </row>
    <row r="2" spans="3:27" x14ac:dyDescent="0.3">
      <c r="C2" s="14" t="s">
        <v>31</v>
      </c>
      <c r="K2" s="13" t="s">
        <v>38</v>
      </c>
      <c r="L2" s="13"/>
      <c r="M2" s="13"/>
      <c r="N2" s="13"/>
      <c r="O2" s="13"/>
    </row>
    <row r="3" spans="3:27" x14ac:dyDescent="0.3">
      <c r="K3" s="15"/>
      <c r="L3" s="15"/>
      <c r="M3" s="15"/>
      <c r="N3" s="15"/>
      <c r="O3" s="15"/>
    </row>
    <row r="4" spans="3:27" x14ac:dyDescent="0.3">
      <c r="K4" s="13" t="s">
        <v>37</v>
      </c>
      <c r="L4" s="13"/>
      <c r="M4" s="13"/>
      <c r="N4" s="13"/>
      <c r="O4" s="13"/>
    </row>
    <row r="7" spans="3:27" x14ac:dyDescent="0.3">
      <c r="D7" s="5" t="s">
        <v>0</v>
      </c>
      <c r="E7" s="10" t="s">
        <v>1</v>
      </c>
      <c r="F7" s="10"/>
      <c r="G7" s="1"/>
      <c r="H7" s="10" t="s">
        <v>2</v>
      </c>
      <c r="I7" s="10"/>
      <c r="J7" s="10"/>
      <c r="K7" s="10"/>
      <c r="L7" s="10"/>
      <c r="M7" s="1"/>
      <c r="N7" s="10" t="s">
        <v>3</v>
      </c>
      <c r="O7" s="10"/>
      <c r="P7" s="1"/>
      <c r="Q7" s="10" t="s">
        <v>4</v>
      </c>
      <c r="R7" s="10"/>
      <c r="S7" s="10"/>
      <c r="T7" s="10"/>
      <c r="U7" s="1"/>
      <c r="V7" s="1" t="s">
        <v>5</v>
      </c>
      <c r="W7" s="1"/>
      <c r="X7" s="1" t="s">
        <v>6</v>
      </c>
      <c r="Y7" s="2"/>
      <c r="Z7" s="10" t="s">
        <v>24</v>
      </c>
      <c r="AA7" s="10"/>
    </row>
    <row r="8" spans="3:27" x14ac:dyDescent="0.3">
      <c r="D8" s="3"/>
      <c r="E8" s="5" t="s">
        <v>7</v>
      </c>
      <c r="F8" s="5" t="s">
        <v>8</v>
      </c>
      <c r="G8" s="1"/>
      <c r="H8" s="5" t="s">
        <v>9</v>
      </c>
      <c r="I8" s="5" t="s">
        <v>10</v>
      </c>
      <c r="J8" s="5" t="s">
        <v>11</v>
      </c>
      <c r="K8" s="5" t="s">
        <v>12</v>
      </c>
      <c r="L8" s="5" t="s">
        <v>13</v>
      </c>
      <c r="M8" s="1"/>
      <c r="N8" s="10" t="s">
        <v>14</v>
      </c>
      <c r="O8" s="10"/>
      <c r="P8" s="1"/>
      <c r="Q8" s="5" t="s">
        <v>15</v>
      </c>
      <c r="R8" s="5" t="s">
        <v>16</v>
      </c>
      <c r="S8" s="5" t="s">
        <v>17</v>
      </c>
      <c r="T8" s="1"/>
      <c r="U8" s="1"/>
      <c r="V8" s="5" t="s">
        <v>18</v>
      </c>
      <c r="W8" s="1"/>
      <c r="X8" s="1"/>
      <c r="Y8" s="2"/>
      <c r="Z8" s="3"/>
      <c r="AA8" s="3"/>
    </row>
    <row r="9" spans="3:27" x14ac:dyDescent="0.3">
      <c r="D9" s="5">
        <v>1</v>
      </c>
      <c r="E9" s="6" t="s">
        <v>19</v>
      </c>
      <c r="F9" s="6" t="s">
        <v>26</v>
      </c>
      <c r="G9" s="3"/>
      <c r="H9" s="6">
        <v>48</v>
      </c>
      <c r="I9" s="6">
        <v>49</v>
      </c>
      <c r="J9" s="6">
        <v>40</v>
      </c>
      <c r="K9" s="6">
        <v>45</v>
      </c>
      <c r="L9" s="6">
        <v>50</v>
      </c>
      <c r="M9" s="3"/>
      <c r="N9" s="11">
        <f>AVERAGE(L9,K9,J9,I9,H9)</f>
        <v>46.4</v>
      </c>
      <c r="O9" s="11"/>
      <c r="P9" s="3"/>
      <c r="Q9" s="6">
        <v>95</v>
      </c>
      <c r="R9" s="6">
        <v>85</v>
      </c>
      <c r="S9" s="6">
        <v>100</v>
      </c>
      <c r="T9" s="3"/>
      <c r="U9" s="3"/>
      <c r="V9" s="4">
        <f>AVERAGE(S9,R9,Q9)</f>
        <v>93.333333333333329</v>
      </c>
      <c r="W9" s="3"/>
      <c r="X9" s="4">
        <f>N9+V9/2</f>
        <v>93.066666666666663</v>
      </c>
      <c r="Y9" s="2"/>
      <c r="Z9" s="12" t="str">
        <f>IF(X9&gt;=90,"A",IF(X9&gt;=80,"B",IF(X9&gt;=70,"C","Below C")))</f>
        <v>A</v>
      </c>
      <c r="AA9" s="12"/>
    </row>
    <row r="10" spans="3:27" x14ac:dyDescent="0.3">
      <c r="D10" s="5">
        <v>2</v>
      </c>
      <c r="E10" s="6" t="s">
        <v>20</v>
      </c>
      <c r="F10" s="6" t="s">
        <v>30</v>
      </c>
      <c r="G10" s="3"/>
      <c r="H10" s="6">
        <v>32</v>
      </c>
      <c r="I10" s="6">
        <v>36</v>
      </c>
      <c r="J10" s="6">
        <v>48</v>
      </c>
      <c r="K10" s="6">
        <v>25</v>
      </c>
      <c r="L10" s="6">
        <v>42</v>
      </c>
      <c r="M10" s="3"/>
      <c r="N10" s="11">
        <f t="shared" ref="N10:N13" si="0">AVERAGE(L10,K10,J10,I10,H10)</f>
        <v>36.6</v>
      </c>
      <c r="O10" s="11"/>
      <c r="P10" s="3"/>
      <c r="Q10" s="6">
        <v>70</v>
      </c>
      <c r="R10" s="6">
        <v>85</v>
      </c>
      <c r="S10" s="6">
        <v>60</v>
      </c>
      <c r="T10" s="3"/>
      <c r="U10" s="3"/>
      <c r="V10" s="4">
        <f t="shared" ref="V10:V13" si="1">AVERAGE(S10,R10,Q10)</f>
        <v>71.666666666666671</v>
      </c>
      <c r="W10" s="3"/>
      <c r="X10" s="4">
        <f t="shared" ref="X10:X13" si="2">N10+V10/2</f>
        <v>72.433333333333337</v>
      </c>
      <c r="Y10" s="2"/>
      <c r="Z10" s="12" t="str">
        <f t="shared" ref="Z10:Z13" si="3">IF(X10&gt;=90,"A",IF(X10&gt;=80,"B",IF(X10&gt;=70,"C","Below C")))</f>
        <v>C</v>
      </c>
      <c r="AA10" s="12"/>
    </row>
    <row r="11" spans="3:27" x14ac:dyDescent="0.3">
      <c r="D11" s="5">
        <v>3</v>
      </c>
      <c r="E11" s="6" t="s">
        <v>21</v>
      </c>
      <c r="F11" s="6" t="s">
        <v>27</v>
      </c>
      <c r="G11" s="3"/>
      <c r="H11" s="6">
        <v>10</v>
      </c>
      <c r="I11" s="6">
        <v>32</v>
      </c>
      <c r="J11" s="6">
        <v>39</v>
      </c>
      <c r="K11" s="6">
        <v>49</v>
      </c>
      <c r="L11" s="6">
        <v>36</v>
      </c>
      <c r="M11" s="3"/>
      <c r="N11" s="11">
        <f t="shared" si="0"/>
        <v>33.200000000000003</v>
      </c>
      <c r="O11" s="11"/>
      <c r="P11" s="3"/>
      <c r="Q11" s="6">
        <v>60</v>
      </c>
      <c r="R11" s="6">
        <v>80</v>
      </c>
      <c r="S11" s="6">
        <v>90</v>
      </c>
      <c r="T11" s="3"/>
      <c r="U11" s="3"/>
      <c r="V11" s="4">
        <f t="shared" si="1"/>
        <v>76.666666666666671</v>
      </c>
      <c r="W11" s="3"/>
      <c r="X11" s="4">
        <f t="shared" si="2"/>
        <v>71.533333333333331</v>
      </c>
      <c r="Y11" s="2"/>
      <c r="Z11" s="12" t="str">
        <f t="shared" si="3"/>
        <v>C</v>
      </c>
      <c r="AA11" s="12"/>
    </row>
    <row r="12" spans="3:27" x14ac:dyDescent="0.3">
      <c r="D12" s="5">
        <v>4</v>
      </c>
      <c r="E12" s="6" t="s">
        <v>22</v>
      </c>
      <c r="F12" s="6" t="s">
        <v>28</v>
      </c>
      <c r="G12" s="3"/>
      <c r="H12" s="6">
        <v>50</v>
      </c>
      <c r="I12" s="6">
        <v>50</v>
      </c>
      <c r="J12" s="6">
        <v>49</v>
      </c>
      <c r="K12" s="6">
        <v>50</v>
      </c>
      <c r="L12" s="6">
        <v>50</v>
      </c>
      <c r="M12" s="3"/>
      <c r="N12" s="11">
        <f t="shared" si="0"/>
        <v>49.8</v>
      </c>
      <c r="O12" s="11"/>
      <c r="P12" s="3"/>
      <c r="Q12" s="6">
        <v>65</v>
      </c>
      <c r="R12" s="6">
        <v>100</v>
      </c>
      <c r="S12" s="6">
        <v>100</v>
      </c>
      <c r="T12" s="3"/>
      <c r="U12" s="3"/>
      <c r="V12" s="4">
        <f t="shared" si="1"/>
        <v>88.333333333333329</v>
      </c>
      <c r="W12" s="3"/>
      <c r="X12" s="4">
        <f t="shared" si="2"/>
        <v>93.966666666666669</v>
      </c>
      <c r="Y12" s="2"/>
      <c r="Z12" s="12" t="str">
        <f t="shared" si="3"/>
        <v>A</v>
      </c>
      <c r="AA12" s="12"/>
    </row>
    <row r="13" spans="3:27" x14ac:dyDescent="0.3">
      <c r="D13" s="5">
        <v>5</v>
      </c>
      <c r="E13" s="6" t="s">
        <v>23</v>
      </c>
      <c r="F13" s="6" t="s">
        <v>29</v>
      </c>
      <c r="G13" s="3"/>
      <c r="H13" s="6">
        <v>0</v>
      </c>
      <c r="I13" s="6">
        <v>13</v>
      </c>
      <c r="J13" s="6">
        <v>25</v>
      </c>
      <c r="K13" s="6">
        <v>38</v>
      </c>
      <c r="L13" s="6">
        <v>50</v>
      </c>
      <c r="M13" s="3"/>
      <c r="N13" s="11">
        <f t="shared" si="0"/>
        <v>25.2</v>
      </c>
      <c r="O13" s="11"/>
      <c r="P13" s="3"/>
      <c r="Q13" s="6">
        <v>40</v>
      </c>
      <c r="R13" s="6">
        <v>80</v>
      </c>
      <c r="S13" s="6">
        <v>100</v>
      </c>
      <c r="T13" s="3"/>
      <c r="U13" s="3"/>
      <c r="V13" s="4">
        <f t="shared" si="1"/>
        <v>73.333333333333329</v>
      </c>
      <c r="W13" s="3"/>
      <c r="X13" s="4">
        <f t="shared" si="2"/>
        <v>61.86666666666666</v>
      </c>
      <c r="Y13" s="2"/>
      <c r="Z13" s="12" t="str">
        <f t="shared" si="3"/>
        <v>Below C</v>
      </c>
      <c r="AA13" s="12"/>
    </row>
    <row r="14" spans="3:27" x14ac:dyDescent="0.3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3:27" x14ac:dyDescent="0.3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3:27" x14ac:dyDescent="0.3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4:27" ht="14.4" customHeight="1" x14ac:dyDescent="0.3">
      <c r="D17" s="7"/>
      <c r="E17" s="7"/>
      <c r="F17" s="7"/>
      <c r="G17" s="7"/>
      <c r="H17" s="7"/>
      <c r="I17" s="9" t="s">
        <v>32</v>
      </c>
      <c r="J17" s="9"/>
      <c r="K17" s="8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7"/>
      <c r="X17" s="7"/>
      <c r="Y17" s="7"/>
      <c r="Z17" s="7"/>
      <c r="AA17" s="7"/>
    </row>
    <row r="18" spans="4:27" x14ac:dyDescent="0.3">
      <c r="D18" s="7"/>
      <c r="E18" s="7"/>
      <c r="F18" s="7"/>
      <c r="G18" s="7"/>
      <c r="H18" s="7"/>
      <c r="I18" s="9"/>
      <c r="J18" s="9"/>
      <c r="K18" s="8" t="s">
        <v>34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/>
      <c r="X18" s="7"/>
      <c r="Y18" s="7"/>
      <c r="Z18" s="7"/>
      <c r="AA18" s="7"/>
    </row>
    <row r="19" spans="4:27" x14ac:dyDescent="0.3">
      <c r="D19" s="7"/>
      <c r="E19" s="7"/>
      <c r="F19" s="7"/>
      <c r="G19" s="7"/>
      <c r="H19" s="7"/>
      <c r="I19" s="9"/>
      <c r="J19" s="9"/>
      <c r="K19" s="8" t="s">
        <v>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7"/>
      <c r="X19" s="7"/>
      <c r="Y19" s="7"/>
      <c r="Z19" s="7"/>
      <c r="AA19" s="7"/>
    </row>
    <row r="20" spans="4:27" x14ac:dyDescent="0.3">
      <c r="D20" s="7"/>
      <c r="E20" s="7"/>
      <c r="F20" s="7"/>
      <c r="G20" s="7"/>
      <c r="H20" s="7"/>
      <c r="I20" s="9"/>
      <c r="J20" s="9"/>
      <c r="K20" s="8" t="s">
        <v>36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"/>
      <c r="X20" s="7"/>
      <c r="Y20" s="7"/>
      <c r="Z20" s="7"/>
      <c r="AA20" s="7"/>
    </row>
  </sheetData>
  <mergeCells count="23">
    <mergeCell ref="Z13:AA13"/>
    <mergeCell ref="N10:O10"/>
    <mergeCell ref="K4:O4"/>
    <mergeCell ref="Z7:AA7"/>
    <mergeCell ref="Z9:AA9"/>
    <mergeCell ref="Z10:AA10"/>
    <mergeCell ref="Z11:AA11"/>
    <mergeCell ref="Z12:AA12"/>
    <mergeCell ref="I17:J20"/>
    <mergeCell ref="K20:V20"/>
    <mergeCell ref="E7:F7"/>
    <mergeCell ref="H7:L7"/>
    <mergeCell ref="N7:O7"/>
    <mergeCell ref="N8:O8"/>
    <mergeCell ref="N9:O9"/>
    <mergeCell ref="N11:O11"/>
    <mergeCell ref="N12:O12"/>
    <mergeCell ref="N13:O13"/>
    <mergeCell ref="Q7:T7"/>
    <mergeCell ref="K2:O2"/>
    <mergeCell ref="K17:V17"/>
    <mergeCell ref="K18:V18"/>
    <mergeCell ref="K19:V19"/>
  </mergeCells>
  <conditionalFormatting sqref="H9:L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:O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:S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:V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:X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:AA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:AA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E008F0062574CA6E83BE95C29BEC1" ma:contentTypeVersion="4" ma:contentTypeDescription="Create a new document." ma:contentTypeScope="" ma:versionID="dc6e0965bcc37832700dd7b0577b352c">
  <xsd:schema xmlns:xsd="http://www.w3.org/2001/XMLSchema" xmlns:xs="http://www.w3.org/2001/XMLSchema" xmlns:p="http://schemas.microsoft.com/office/2006/metadata/properties" xmlns:ns3="9baf66d8-cc33-4807-9be0-a8c87ab55a75" targetNamespace="http://schemas.microsoft.com/office/2006/metadata/properties" ma:root="true" ma:fieldsID="7ac49400b77fd6082aff5581bd6e44f2" ns3:_="">
    <xsd:import namespace="9baf66d8-cc33-4807-9be0-a8c87ab55a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f66d8-cc33-4807-9be0-a8c87ab55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Props1.xml><?xml version="1.0" encoding="utf-8"?>
<ds:datastoreItem xmlns:ds="http://schemas.openxmlformats.org/officeDocument/2006/customXml" ds:itemID="{40F4BA9C-DA6E-4C5A-B2B3-4386D0D4D96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16207663-49DA-46F5-BDEC-59B0FC0C0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af66d8-cc33-4807-9be0-a8c87ab55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044D8A-09AC-40B7-9B20-316D272B62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F116854-72AE-49D4-8422-C62453553661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baf66d8-cc33-4807-9be0-a8c87ab55a75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DA90EA13-B7D6-4A0A-8403-FE2AF45E2A42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Barros</dc:creator>
  <cp:lastModifiedBy>Julio Barros</cp:lastModifiedBy>
  <dcterms:created xsi:type="dcterms:W3CDTF">2019-09-10T20:30:19Z</dcterms:created>
  <dcterms:modified xsi:type="dcterms:W3CDTF">2019-09-17T16:52:19Z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0x010100481E008F0062574CA6E83BE95C29BEC1</vt:lpwstr>
  </property>
</Properties>
</file>