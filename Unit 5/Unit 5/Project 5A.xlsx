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ich0-my.sharepoint.com/personal/jribeir2_emich_edu/Documents/"/>
    </mc:Choice>
  </mc:AlternateContent>
  <xr:revisionPtr revIDLastSave="180" documentId="8_{F1270D8C-A8DD-2641-8EEE-E03CEC98275C}" xr6:coauthVersionLast="45" xr6:coauthVersionMax="45" xr10:uidLastSave="{F8C2BA19-4BD5-F24C-BA0A-C7D0D90F2A24}"/>
  <bookViews>
    <workbookView xWindow="760" yWindow="520" windowWidth="28040" windowHeight="16240" activeTab="4" xr2:uid="{34E238D7-5F97-774A-BAC6-A5AEF4557309}"/>
  </bookViews>
  <sheets>
    <sheet name="Sheet1" sheetId="1" r:id="rId1"/>
    <sheet name="Sheet2" sheetId="2" r:id="rId2"/>
    <sheet name="Sheet3" sheetId="3" r:id="rId3"/>
    <sheet name="Sheet4" sheetId="4" r:id="rId4"/>
    <sheet name="Total Sa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5" l="1"/>
  <c r="J9" i="5"/>
  <c r="J8" i="5"/>
  <c r="J7" i="5"/>
  <c r="J6" i="5"/>
  <c r="H9" i="5"/>
  <c r="H8" i="5"/>
  <c r="H7" i="5"/>
  <c r="H6" i="5"/>
  <c r="F7" i="5"/>
  <c r="F6" i="5"/>
  <c r="D15" i="5" s="1"/>
  <c r="D9" i="5"/>
  <c r="D8" i="5"/>
  <c r="D7" i="5"/>
  <c r="D6" i="5"/>
  <c r="D13" i="3"/>
  <c r="F13" i="3" s="1"/>
  <c r="D16" i="4"/>
  <c r="D15" i="4"/>
  <c r="D14" i="4"/>
  <c r="E5" i="4"/>
  <c r="F5" i="4"/>
  <c r="G5" i="4"/>
  <c r="H5" i="4"/>
  <c r="D5" i="4"/>
  <c r="D13" i="4"/>
  <c r="D14" i="3"/>
  <c r="H6" i="3"/>
  <c r="G6" i="3"/>
  <c r="F6" i="3"/>
  <c r="E6" i="3"/>
  <c r="D16" i="3" s="1"/>
  <c r="D6" i="3"/>
  <c r="H5" i="3"/>
  <c r="G5" i="3"/>
  <c r="F5" i="3"/>
  <c r="E5" i="3"/>
  <c r="D5" i="3"/>
  <c r="E13" i="1"/>
  <c r="D14" i="2"/>
  <c r="D13" i="2"/>
  <c r="F13" i="2" s="1"/>
  <c r="H6" i="2"/>
  <c r="F9" i="5" s="1"/>
  <c r="D18" i="5" s="1"/>
  <c r="G6" i="2"/>
  <c r="F6" i="2"/>
  <c r="E6" i="2"/>
  <c r="D6" i="2"/>
  <c r="H5" i="2"/>
  <c r="F8" i="5" s="1"/>
  <c r="D17" i="5" s="1"/>
  <c r="G5" i="2"/>
  <c r="F5" i="2"/>
  <c r="E5" i="2"/>
  <c r="D5" i="2"/>
  <c r="D16" i="1"/>
  <c r="D14" i="1"/>
  <c r="D15" i="1"/>
  <c r="H6" i="1"/>
  <c r="E6" i="1"/>
  <c r="F6" i="1"/>
  <c r="G6" i="1"/>
  <c r="D6" i="1"/>
  <c r="D13" i="1"/>
  <c r="D15" i="3" l="1"/>
  <c r="D16" i="2"/>
  <c r="D15" i="2"/>
  <c r="E5" i="1"/>
  <c r="F5" i="1"/>
  <c r="G5" i="1"/>
  <c r="H5" i="1"/>
  <c r="D5" i="1"/>
</calcChain>
</file>

<file path=xl/sharedStrings.xml><?xml version="1.0" encoding="utf-8"?>
<sst xmlns="http://schemas.openxmlformats.org/spreadsheetml/2006/main" count="75" uniqueCount="24">
  <si>
    <t>EMU Park Administration</t>
  </si>
  <si>
    <t>Group 1</t>
  </si>
  <si>
    <t>Group 2</t>
  </si>
  <si>
    <t>Group 3</t>
  </si>
  <si>
    <t>Group 4</t>
  </si>
  <si>
    <t>Group 5</t>
  </si>
  <si>
    <t>Total No of People</t>
  </si>
  <si>
    <t>AVG Ticket Price</t>
  </si>
  <si>
    <t>Total Price Paid</t>
  </si>
  <si>
    <t>Total Discount Given</t>
  </si>
  <si>
    <t>Avg Ticket Price</t>
  </si>
  <si>
    <t>Total Revenue The Shift</t>
  </si>
  <si>
    <t>Shift -1 8:00AM - 10:00AM</t>
  </si>
  <si>
    <t>Shift -2 10:00AM - 12:00PM</t>
  </si>
  <si>
    <t>Shift -2 1:00PM - 3:00PM</t>
  </si>
  <si>
    <t>Warning: Limit Exceeded!!!</t>
  </si>
  <si>
    <t>Shift -2 3:00PM - 5:00PM</t>
  </si>
  <si>
    <t>Shift - 1</t>
  </si>
  <si>
    <t>Shift - 2</t>
  </si>
  <si>
    <t>Shift - 3</t>
  </si>
  <si>
    <t>Shift - 4</t>
  </si>
  <si>
    <t>Emu Park Daily Sales Report</t>
  </si>
  <si>
    <t>Total Summary of The Day</t>
  </si>
  <si>
    <t>Total Revenue in The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</si>
</sst>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44" fontId="4" fillId="0" borderId="0" xfId="0" applyNumberFormat="1" applyFont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4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B447-BBE2-3049-88FE-947E9484ABC6}">
  <dimension ref="A1:J16"/>
  <sheetViews>
    <sheetView workbookViewId="0">
      <selection activeCell="D13" sqref="D13:D16"/>
    </sheetView>
  </sheetViews>
  <sheetFormatPr baseColWidth="10" defaultRowHeight="16" x14ac:dyDescent="0.2"/>
  <sheetData>
    <row r="1" spans="1:10" x14ac:dyDescent="0.2">
      <c r="A1" s="4" t="s">
        <v>0</v>
      </c>
      <c r="B1" s="4"/>
      <c r="C1" s="4"/>
      <c r="D1" s="4"/>
      <c r="G1" s="5" t="s">
        <v>12</v>
      </c>
      <c r="H1" s="5"/>
      <c r="I1" s="5"/>
      <c r="J1" s="5"/>
    </row>
    <row r="2" spans="1:10" x14ac:dyDescent="0.2">
      <c r="A2" s="4"/>
      <c r="B2" s="4"/>
      <c r="C2" s="4"/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10" x14ac:dyDescent="0.2">
      <c r="A3" s="4" t="s">
        <v>6</v>
      </c>
      <c r="B3" s="4"/>
      <c r="C3" s="4"/>
      <c r="D3">
        <v>10</v>
      </c>
      <c r="E3">
        <v>5</v>
      </c>
      <c r="F3">
        <v>8</v>
      </c>
      <c r="G3">
        <v>10</v>
      </c>
      <c r="H3">
        <v>15</v>
      </c>
    </row>
    <row r="4" spans="1:10" x14ac:dyDescent="0.2">
      <c r="A4" s="4" t="s">
        <v>7</v>
      </c>
      <c r="B4" s="4"/>
      <c r="C4" s="4"/>
      <c r="D4" s="2">
        <v>8</v>
      </c>
      <c r="E4" s="2">
        <v>8</v>
      </c>
      <c r="F4" s="2">
        <v>8</v>
      </c>
      <c r="G4" s="2">
        <v>8</v>
      </c>
      <c r="H4" s="2">
        <v>6</v>
      </c>
    </row>
    <row r="5" spans="1:10" x14ac:dyDescent="0.2">
      <c r="A5" s="4" t="s">
        <v>8</v>
      </c>
      <c r="B5" s="4"/>
      <c r="C5" s="4"/>
      <c r="D5" s="3">
        <f>D4*D3</f>
        <v>80</v>
      </c>
      <c r="E5" s="3">
        <f t="shared" ref="E5:H5" si="0">E4*E3</f>
        <v>40</v>
      </c>
      <c r="F5" s="3">
        <f t="shared" si="0"/>
        <v>64</v>
      </c>
      <c r="G5" s="3">
        <f t="shared" si="0"/>
        <v>80</v>
      </c>
      <c r="H5" s="3">
        <f t="shared" si="0"/>
        <v>90</v>
      </c>
    </row>
    <row r="6" spans="1:10" x14ac:dyDescent="0.2">
      <c r="A6" s="4" t="s">
        <v>9</v>
      </c>
      <c r="B6" s="4"/>
      <c r="C6" s="4"/>
      <c r="D6" s="2">
        <f>IF(D3&gt;=10,D3*2)</f>
        <v>20</v>
      </c>
      <c r="E6" s="2">
        <f>IF(E4&lt;=10,E3*2)</f>
        <v>10</v>
      </c>
      <c r="F6" s="2">
        <f>IF(F4&lt;=10,F3*2)</f>
        <v>16</v>
      </c>
      <c r="G6" s="2">
        <f>IF(G4&lt;=10,G3*2)</f>
        <v>20</v>
      </c>
      <c r="H6" s="2">
        <f>IF(H4&lt;=10,H3*4)</f>
        <v>60</v>
      </c>
    </row>
    <row r="13" spans="1:10" x14ac:dyDescent="0.2">
      <c r="A13" s="4" t="s">
        <v>6</v>
      </c>
      <c r="B13" s="4"/>
      <c r="C13" s="4"/>
      <c r="D13">
        <f>D3+E3+F3+G3+H3</f>
        <v>48</v>
      </c>
      <c r="E13" s="4" t="str">
        <f>IF(D13&gt;=50,"Warning: Limit Exceeded!!!","")</f>
        <v/>
      </c>
      <c r="F13" s="4"/>
      <c r="G13" s="4"/>
    </row>
    <row r="14" spans="1:10" x14ac:dyDescent="0.2">
      <c r="A14" s="4" t="s">
        <v>10</v>
      </c>
      <c r="B14" s="4"/>
      <c r="C14" s="4"/>
      <c r="D14" s="3">
        <f>AVERAGE(D4:H4)</f>
        <v>7.6</v>
      </c>
    </row>
    <row r="15" spans="1:10" x14ac:dyDescent="0.2">
      <c r="A15" s="4" t="s">
        <v>11</v>
      </c>
      <c r="B15" s="4"/>
      <c r="C15" s="4"/>
      <c r="D15" s="3">
        <f>D5+E5+F5+G5+H5</f>
        <v>354</v>
      </c>
    </row>
    <row r="16" spans="1:10" x14ac:dyDescent="0.2">
      <c r="A16" s="4" t="s">
        <v>9</v>
      </c>
      <c r="B16" s="4"/>
      <c r="C16" s="4"/>
      <c r="D16" s="3">
        <f>SUM(D6:H6)</f>
        <v>126</v>
      </c>
    </row>
  </sheetData>
  <mergeCells count="12">
    <mergeCell ref="G1:J1"/>
    <mergeCell ref="E13:G13"/>
    <mergeCell ref="A6:C6"/>
    <mergeCell ref="A13:C13"/>
    <mergeCell ref="A14:C14"/>
    <mergeCell ref="A15:C15"/>
    <mergeCell ref="A16:C16"/>
    <mergeCell ref="A1:D1"/>
    <mergeCell ref="A2:C2"/>
    <mergeCell ref="A3:C3"/>
    <mergeCell ref="A4:C4"/>
    <mergeCell ref="A5:C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D25F-695B-5945-8ABA-DD2397B8F5C9}">
  <dimension ref="A1:J16"/>
  <sheetViews>
    <sheetView workbookViewId="0">
      <selection activeCell="H4" sqref="H4"/>
    </sheetView>
  </sheetViews>
  <sheetFormatPr baseColWidth="10" defaultRowHeight="16" x14ac:dyDescent="0.2"/>
  <sheetData>
    <row r="1" spans="1:10" x14ac:dyDescent="0.2">
      <c r="A1" s="4" t="s">
        <v>0</v>
      </c>
      <c r="B1" s="4"/>
      <c r="C1" s="4"/>
      <c r="D1" s="4"/>
      <c r="G1" s="5" t="s">
        <v>13</v>
      </c>
      <c r="H1" s="5"/>
      <c r="I1" s="5"/>
      <c r="J1" s="5"/>
    </row>
    <row r="2" spans="1:10" x14ac:dyDescent="0.2">
      <c r="A2" s="4"/>
      <c r="B2" s="4"/>
      <c r="C2" s="4"/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10" x14ac:dyDescent="0.2">
      <c r="A3" s="4" t="s">
        <v>6</v>
      </c>
      <c r="B3" s="4"/>
      <c r="C3" s="4"/>
      <c r="D3">
        <v>15</v>
      </c>
      <c r="E3">
        <v>5</v>
      </c>
      <c r="F3">
        <v>7</v>
      </c>
      <c r="G3">
        <v>9</v>
      </c>
      <c r="H3">
        <v>13</v>
      </c>
    </row>
    <row r="4" spans="1:10" x14ac:dyDescent="0.2">
      <c r="A4" s="4" t="s">
        <v>7</v>
      </c>
      <c r="B4" s="4"/>
      <c r="C4" s="4"/>
      <c r="D4" s="2">
        <v>6</v>
      </c>
      <c r="E4" s="2">
        <v>8</v>
      </c>
      <c r="F4" s="2">
        <v>8</v>
      </c>
      <c r="G4" s="2">
        <v>8</v>
      </c>
      <c r="H4" s="2">
        <v>6</v>
      </c>
    </row>
    <row r="5" spans="1:10" x14ac:dyDescent="0.2">
      <c r="A5" s="4" t="s">
        <v>8</v>
      </c>
      <c r="B5" s="4"/>
      <c r="C5" s="4"/>
      <c r="D5" s="3">
        <f>D4*D3</f>
        <v>90</v>
      </c>
      <c r="E5" s="3">
        <f t="shared" ref="E5:H5" si="0">E4*E3</f>
        <v>40</v>
      </c>
      <c r="F5" s="3">
        <f t="shared" si="0"/>
        <v>56</v>
      </c>
      <c r="G5" s="3">
        <f t="shared" si="0"/>
        <v>72</v>
      </c>
      <c r="H5" s="3">
        <f t="shared" si="0"/>
        <v>78</v>
      </c>
    </row>
    <row r="6" spans="1:10" x14ac:dyDescent="0.2">
      <c r="A6" s="4" t="s">
        <v>9</v>
      </c>
      <c r="B6" s="4"/>
      <c r="C6" s="4"/>
      <c r="D6" s="2">
        <f>IF(D3&gt;=10,D3*2)</f>
        <v>30</v>
      </c>
      <c r="E6" s="2">
        <f>IF(E4&lt;=10,E3*2)</f>
        <v>10</v>
      </c>
      <c r="F6" s="2">
        <f>IF(F4&lt;=10,F3*2)</f>
        <v>14</v>
      </c>
      <c r="G6" s="2">
        <f>IF(G4&lt;=10,G3*2)</f>
        <v>18</v>
      </c>
      <c r="H6" s="2">
        <f>IF(H4&lt;=10,H3*4)</f>
        <v>52</v>
      </c>
    </row>
    <row r="13" spans="1:10" x14ac:dyDescent="0.2">
      <c r="A13" s="4" t="s">
        <v>6</v>
      </c>
      <c r="B13" s="4"/>
      <c r="C13" s="4"/>
      <c r="D13">
        <f>D3+E3+F3+G3+H3</f>
        <v>49</v>
      </c>
      <c r="F13" s="4" t="str">
        <f>IF(D13&gt;=50,"Warning: Limit Exceeded!!!","")</f>
        <v/>
      </c>
      <c r="G13" s="4"/>
      <c r="H13" s="4"/>
    </row>
    <row r="14" spans="1:10" x14ac:dyDescent="0.2">
      <c r="A14" s="4" t="s">
        <v>10</v>
      </c>
      <c r="B14" s="4"/>
      <c r="C14" s="4"/>
      <c r="D14" s="3">
        <f>AVERAGE(D4:H4)</f>
        <v>7.2</v>
      </c>
    </row>
    <row r="15" spans="1:10" x14ac:dyDescent="0.2">
      <c r="A15" s="4" t="s">
        <v>11</v>
      </c>
      <c r="B15" s="4"/>
      <c r="C15" s="4"/>
      <c r="D15" s="3">
        <f>D5+E5+F5+G5+H5</f>
        <v>336</v>
      </c>
    </row>
    <row r="16" spans="1:10" x14ac:dyDescent="0.2">
      <c r="A16" s="4" t="s">
        <v>9</v>
      </c>
      <c r="B16" s="4"/>
      <c r="C16" s="4"/>
      <c r="D16" s="3">
        <f>SUM(D6:H6)</f>
        <v>124</v>
      </c>
    </row>
  </sheetData>
  <mergeCells count="12">
    <mergeCell ref="A6:C6"/>
    <mergeCell ref="A13:C13"/>
    <mergeCell ref="A14:C14"/>
    <mergeCell ref="A15:C15"/>
    <mergeCell ref="A16:C16"/>
    <mergeCell ref="F13:H13"/>
    <mergeCell ref="A1:D1"/>
    <mergeCell ref="G1:J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CAC3-98BB-864A-9B77-5EE614CE6174}">
  <dimension ref="A1:J16"/>
  <sheetViews>
    <sheetView workbookViewId="0">
      <selection activeCell="F13" sqref="F13:H13"/>
    </sheetView>
  </sheetViews>
  <sheetFormatPr baseColWidth="10" defaultRowHeight="16" x14ac:dyDescent="0.2"/>
  <sheetData>
    <row r="1" spans="1:10" x14ac:dyDescent="0.2">
      <c r="A1" s="4" t="s">
        <v>0</v>
      </c>
      <c r="B1" s="4"/>
      <c r="C1" s="4"/>
      <c r="D1" s="4"/>
      <c r="G1" s="5" t="s">
        <v>14</v>
      </c>
      <c r="H1" s="5"/>
      <c r="I1" s="5"/>
      <c r="J1" s="5"/>
    </row>
    <row r="2" spans="1:10" x14ac:dyDescent="0.2">
      <c r="A2" s="4"/>
      <c r="B2" s="4"/>
      <c r="C2" s="4"/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10" x14ac:dyDescent="0.2">
      <c r="A3" s="4" t="s">
        <v>6</v>
      </c>
      <c r="B3" s="4"/>
      <c r="C3" s="4"/>
      <c r="D3">
        <v>15</v>
      </c>
      <c r="E3">
        <v>15</v>
      </c>
      <c r="F3">
        <v>0</v>
      </c>
      <c r="G3">
        <v>0</v>
      </c>
      <c r="H3">
        <v>18</v>
      </c>
    </row>
    <row r="4" spans="1:10" x14ac:dyDescent="0.2">
      <c r="A4" s="4" t="s">
        <v>7</v>
      </c>
      <c r="B4" s="4"/>
      <c r="C4" s="4"/>
      <c r="D4" s="2">
        <v>6</v>
      </c>
      <c r="E4" s="2">
        <v>6</v>
      </c>
      <c r="F4" s="2">
        <v>0</v>
      </c>
      <c r="G4" s="2">
        <v>0</v>
      </c>
      <c r="H4" s="2">
        <v>6</v>
      </c>
    </row>
    <row r="5" spans="1:10" x14ac:dyDescent="0.2">
      <c r="A5" s="4" t="s">
        <v>8</v>
      </c>
      <c r="B5" s="4"/>
      <c r="C5" s="4"/>
      <c r="D5" s="3">
        <f>D4*D3</f>
        <v>90</v>
      </c>
      <c r="E5" s="3">
        <f t="shared" ref="E5:H5" si="0">E4*E3</f>
        <v>90</v>
      </c>
      <c r="F5" s="3">
        <f t="shared" si="0"/>
        <v>0</v>
      </c>
      <c r="G5" s="3">
        <f t="shared" si="0"/>
        <v>0</v>
      </c>
      <c r="H5" s="3">
        <f t="shared" si="0"/>
        <v>108</v>
      </c>
    </row>
    <row r="6" spans="1:10" x14ac:dyDescent="0.2">
      <c r="A6" s="4" t="s">
        <v>9</v>
      </c>
      <c r="B6" s="4"/>
      <c r="C6" s="4"/>
      <c r="D6" s="2">
        <f>IF(D3&gt;=10,D3*2)</f>
        <v>30</v>
      </c>
      <c r="E6" s="2">
        <f>IF(E4&lt;=10,E3*2)</f>
        <v>30</v>
      </c>
      <c r="F6" s="2">
        <f>IF(F4&lt;=10,F3*2)</f>
        <v>0</v>
      </c>
      <c r="G6" s="2">
        <f>IF(G4&lt;=10,G3*2)</f>
        <v>0</v>
      </c>
      <c r="H6" s="2">
        <f>IF(H4&lt;=10,H3*4)</f>
        <v>72</v>
      </c>
    </row>
    <row r="13" spans="1:10" x14ac:dyDescent="0.2">
      <c r="A13" s="4" t="s">
        <v>6</v>
      </c>
      <c r="B13" s="4"/>
      <c r="C13" s="4"/>
      <c r="D13">
        <f>SUM(D3:H3)</f>
        <v>48</v>
      </c>
      <c r="F13" s="4" t="str">
        <f>IF(D13&gt;=50,"Warning: Limit Exceeded!!!","")</f>
        <v/>
      </c>
      <c r="G13" s="4"/>
      <c r="H13" s="4"/>
    </row>
    <row r="14" spans="1:10" x14ac:dyDescent="0.2">
      <c r="A14" s="4" t="s">
        <v>10</v>
      </c>
      <c r="B14" s="4"/>
      <c r="C14" s="4"/>
      <c r="D14" s="3">
        <f>AVERAGE(D4:H4)</f>
        <v>3.6</v>
      </c>
    </row>
    <row r="15" spans="1:10" x14ac:dyDescent="0.2">
      <c r="A15" s="4" t="s">
        <v>11</v>
      </c>
      <c r="B15" s="4"/>
      <c r="C15" s="4"/>
      <c r="D15" s="3">
        <f>D5+E5+F5+G5+H5</f>
        <v>288</v>
      </c>
    </row>
    <row r="16" spans="1:10" x14ac:dyDescent="0.2">
      <c r="A16" s="4" t="s">
        <v>9</v>
      </c>
      <c r="B16" s="4"/>
      <c r="C16" s="4"/>
      <c r="D16" s="3">
        <f>SUM(D6:H6)</f>
        <v>132</v>
      </c>
    </row>
  </sheetData>
  <mergeCells count="12">
    <mergeCell ref="A6:C6"/>
    <mergeCell ref="A13:C13"/>
    <mergeCell ref="F13:H13"/>
    <mergeCell ref="A14:C14"/>
    <mergeCell ref="A15:C15"/>
    <mergeCell ref="A16:C16"/>
    <mergeCell ref="A1:D1"/>
    <mergeCell ref="G1:J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53EB-7BCA-EE47-A4DF-33D85B6B2D85}">
  <dimension ref="A1:J19"/>
  <sheetViews>
    <sheetView workbookViewId="0">
      <selection activeCell="A3" sqref="A3:C6"/>
    </sheetView>
  </sheetViews>
  <sheetFormatPr baseColWidth="10" defaultRowHeight="16" x14ac:dyDescent="0.2"/>
  <sheetData>
    <row r="1" spans="1:10" x14ac:dyDescent="0.2">
      <c r="A1" s="8" t="s">
        <v>0</v>
      </c>
      <c r="B1" s="8"/>
      <c r="C1" s="8"/>
      <c r="D1" s="8"/>
      <c r="E1" s="6"/>
      <c r="F1" s="6"/>
      <c r="G1" s="9" t="s">
        <v>16</v>
      </c>
      <c r="H1" s="9"/>
      <c r="I1" s="9"/>
      <c r="J1" s="9"/>
    </row>
    <row r="2" spans="1:10" x14ac:dyDescent="0.2">
      <c r="A2" s="8"/>
      <c r="B2" s="8"/>
      <c r="C2" s="8"/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/>
      <c r="J2" s="6"/>
    </row>
    <row r="3" spans="1:10" x14ac:dyDescent="0.2">
      <c r="A3" s="8" t="s">
        <v>6</v>
      </c>
      <c r="B3" s="8"/>
      <c r="C3" s="8"/>
      <c r="D3" s="6">
        <v>10</v>
      </c>
      <c r="E3" s="6">
        <v>10</v>
      </c>
      <c r="F3" s="6">
        <v>10</v>
      </c>
      <c r="G3" s="6">
        <v>10</v>
      </c>
      <c r="H3" s="6">
        <v>2</v>
      </c>
      <c r="I3" s="6"/>
      <c r="J3" s="6"/>
    </row>
    <row r="4" spans="1:10" x14ac:dyDescent="0.2">
      <c r="A4" s="8" t="s">
        <v>7</v>
      </c>
      <c r="B4" s="8"/>
      <c r="C4" s="8"/>
      <c r="D4" s="7">
        <v>6</v>
      </c>
      <c r="E4" s="7">
        <v>6</v>
      </c>
      <c r="F4" s="7">
        <v>6</v>
      </c>
      <c r="G4" s="7">
        <v>6</v>
      </c>
      <c r="H4" s="7">
        <v>10</v>
      </c>
      <c r="I4" s="6"/>
      <c r="J4" s="6"/>
    </row>
    <row r="5" spans="1:10" x14ac:dyDescent="0.2">
      <c r="A5" s="8" t="s">
        <v>8</v>
      </c>
      <c r="B5" s="8"/>
      <c r="C5" s="8"/>
      <c r="D5" s="7">
        <f>D3*D4</f>
        <v>60</v>
      </c>
      <c r="E5" s="7">
        <f t="shared" ref="E5:H5" si="0">E3*E4</f>
        <v>60</v>
      </c>
      <c r="F5" s="7">
        <f t="shared" si="0"/>
        <v>60</v>
      </c>
      <c r="G5" s="7">
        <f t="shared" si="0"/>
        <v>60</v>
      </c>
      <c r="H5" s="7">
        <f t="shared" si="0"/>
        <v>20</v>
      </c>
      <c r="I5" s="6"/>
      <c r="J5" s="6"/>
    </row>
    <row r="6" spans="1:10" x14ac:dyDescent="0.2">
      <c r="A6" s="8" t="s">
        <v>9</v>
      </c>
      <c r="B6" s="8"/>
      <c r="C6" s="8"/>
      <c r="D6" s="7">
        <v>30</v>
      </c>
      <c r="E6" s="7">
        <v>10</v>
      </c>
      <c r="F6" s="7">
        <v>14</v>
      </c>
      <c r="G6" s="7">
        <v>18</v>
      </c>
      <c r="H6" s="7">
        <v>60</v>
      </c>
      <c r="I6" s="6"/>
      <c r="J6" s="6"/>
    </row>
    <row r="7" spans="1:10" x14ac:dyDescent="0.2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">
      <c r="A13" s="8" t="s">
        <v>6</v>
      </c>
      <c r="B13" s="8"/>
      <c r="C13" s="8"/>
      <c r="D13" s="6">
        <f>SUM(D3:H3)</f>
        <v>42</v>
      </c>
      <c r="E13" s="6"/>
      <c r="F13" s="8" t="s">
        <v>15</v>
      </c>
      <c r="G13" s="8"/>
      <c r="H13" s="8"/>
      <c r="I13" s="6"/>
      <c r="J13" s="6"/>
    </row>
    <row r="14" spans="1:10" x14ac:dyDescent="0.2">
      <c r="A14" s="8" t="s">
        <v>10</v>
      </c>
      <c r="B14" s="8"/>
      <c r="C14" s="8"/>
      <c r="D14" s="7">
        <f>AVERAGE(D4:H4)</f>
        <v>6.8</v>
      </c>
      <c r="E14" s="6"/>
      <c r="F14" s="6"/>
      <c r="G14" s="6"/>
      <c r="H14" s="6"/>
      <c r="I14" s="6"/>
      <c r="J14" s="6"/>
    </row>
    <row r="15" spans="1:10" x14ac:dyDescent="0.2">
      <c r="A15" s="8" t="s">
        <v>11</v>
      </c>
      <c r="B15" s="8"/>
      <c r="C15" s="8"/>
      <c r="D15" s="7">
        <f>SUM(D5:H5)</f>
        <v>260</v>
      </c>
      <c r="E15" s="6"/>
      <c r="F15" s="6"/>
      <c r="G15" s="6"/>
      <c r="H15" s="6"/>
      <c r="I15" s="6"/>
      <c r="J15" s="6"/>
    </row>
    <row r="16" spans="1:10" x14ac:dyDescent="0.2">
      <c r="A16" s="8" t="s">
        <v>9</v>
      </c>
      <c r="B16" s="8"/>
      <c r="C16" s="8"/>
      <c r="D16" s="7">
        <f>SUM(D6:H6)</f>
        <v>132</v>
      </c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</sheetData>
  <mergeCells count="12">
    <mergeCell ref="A6:C6"/>
    <mergeCell ref="A13:C13"/>
    <mergeCell ref="F13:H13"/>
    <mergeCell ref="A14:C14"/>
    <mergeCell ref="A15:C15"/>
    <mergeCell ref="A16:C16"/>
    <mergeCell ref="A1:D1"/>
    <mergeCell ref="G1:J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F9E5-FD58-CE47-8E21-BDECB5A41C74}">
  <dimension ref="A1:K18"/>
  <sheetViews>
    <sheetView tabSelected="1" workbookViewId="0">
      <selection activeCell="D19" sqref="D19"/>
    </sheetView>
  </sheetViews>
  <sheetFormatPr baseColWidth="10" defaultRowHeight="16" x14ac:dyDescent="0.2"/>
  <sheetData>
    <row r="1" spans="1:11" x14ac:dyDescent="0.2">
      <c r="A1" s="1"/>
      <c r="B1" s="1"/>
      <c r="C1" s="1"/>
      <c r="D1" s="1"/>
      <c r="E1" s="1"/>
      <c r="F1" s="1"/>
      <c r="G1" s="11" t="s">
        <v>21</v>
      </c>
      <c r="H1" s="11"/>
      <c r="I1" s="11"/>
      <c r="J1" s="11"/>
      <c r="K1" s="11"/>
    </row>
    <row r="2" spans="1:11" x14ac:dyDescent="0.2">
      <c r="A2" s="1"/>
      <c r="B2" s="1"/>
      <c r="C2" s="1"/>
      <c r="D2" s="1"/>
      <c r="E2" s="1"/>
      <c r="F2" s="1"/>
      <c r="G2" s="11"/>
      <c r="H2" s="11"/>
      <c r="I2" s="11"/>
      <c r="J2" s="11"/>
      <c r="K2" s="11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"/>
      <c r="B4" s="1"/>
      <c r="C4" s="1"/>
      <c r="D4" s="1" t="s">
        <v>17</v>
      </c>
      <c r="E4" s="1"/>
      <c r="F4" s="1" t="s">
        <v>18</v>
      </c>
      <c r="G4" s="1"/>
      <c r="H4" s="1" t="s">
        <v>19</v>
      </c>
      <c r="I4" s="1"/>
      <c r="J4" s="1" t="s">
        <v>20</v>
      </c>
      <c r="K4" s="1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8" t="s">
        <v>6</v>
      </c>
      <c r="B6" s="8"/>
      <c r="C6" s="8"/>
      <c r="D6" s="1">
        <f>SUM(Sheet1!D3:H3)</f>
        <v>48</v>
      </c>
      <c r="E6" s="1"/>
      <c r="F6" s="1">
        <f>SUM(Sheet2!D3:H3)</f>
        <v>49</v>
      </c>
      <c r="G6" s="1"/>
      <c r="H6" s="1">
        <f>SUM(Sheet3!D3:H3)</f>
        <v>48</v>
      </c>
      <c r="I6" s="1"/>
      <c r="J6" s="1">
        <f>SUM(Sheet4!D3:H3)</f>
        <v>42</v>
      </c>
      <c r="K6" s="1"/>
    </row>
    <row r="7" spans="1:11" x14ac:dyDescent="0.2">
      <c r="A7" s="8" t="s">
        <v>7</v>
      </c>
      <c r="B7" s="8"/>
      <c r="C7" s="8"/>
      <c r="D7" s="10">
        <f>AVERAGE(Sheet1!D4:H4)</f>
        <v>7.6</v>
      </c>
      <c r="E7" s="1"/>
      <c r="F7" s="10">
        <f>AVERAGE(Sheet2!D4:H4)</f>
        <v>7.2</v>
      </c>
      <c r="G7" s="1"/>
      <c r="H7" s="10">
        <f>AVERAGE(Sheet3!D4:H4)</f>
        <v>3.6</v>
      </c>
      <c r="I7" s="1"/>
      <c r="J7" s="10">
        <f>AVERAGE(Sheet4!D4:H4)</f>
        <v>6.8</v>
      </c>
      <c r="K7" s="1"/>
    </row>
    <row r="8" spans="1:11" x14ac:dyDescent="0.2">
      <c r="A8" s="8" t="s">
        <v>8</v>
      </c>
      <c r="B8" s="8"/>
      <c r="C8" s="8"/>
      <c r="D8" s="10">
        <f>SUM(Sheet1!D5:H5)</f>
        <v>354</v>
      </c>
      <c r="E8" s="1"/>
      <c r="F8" s="10">
        <f>SUM(Sheet2!D5:H5)</f>
        <v>336</v>
      </c>
      <c r="G8" s="1"/>
      <c r="H8" s="10">
        <f>SUM(Sheet3!D5:H5)</f>
        <v>288</v>
      </c>
      <c r="I8" s="1"/>
      <c r="J8" s="10">
        <f>SUM(Sheet4!D5:H5)</f>
        <v>260</v>
      </c>
      <c r="K8" s="1"/>
    </row>
    <row r="9" spans="1:11" x14ac:dyDescent="0.2">
      <c r="A9" s="8" t="s">
        <v>9</v>
      </c>
      <c r="B9" s="8"/>
      <c r="C9" s="8"/>
      <c r="D9" s="10">
        <f>SUM(Sheet1!D6:H6)</f>
        <v>126</v>
      </c>
      <c r="E9" s="1"/>
      <c r="F9" s="10">
        <f>SUM(Sheet2!D6:H6)</f>
        <v>124</v>
      </c>
      <c r="G9" s="1"/>
      <c r="H9" s="10">
        <f>SUM(Sheet3!D6:H6)</f>
        <v>132</v>
      </c>
      <c r="I9" s="1"/>
      <c r="J9" s="10">
        <f>SUM(Sheet4!D6:H6)</f>
        <v>132</v>
      </c>
      <c r="K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"/>
      <c r="B13" s="11" t="s">
        <v>22</v>
      </c>
      <c r="C13" s="11"/>
      <c r="D13" s="1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1"/>
      <c r="C14" s="11"/>
      <c r="D14" s="11"/>
      <c r="E14" s="1"/>
      <c r="F14" s="1"/>
      <c r="G14" s="1"/>
      <c r="H14" s="1"/>
      <c r="I14" s="1"/>
      <c r="J14" s="1"/>
      <c r="K14" s="1"/>
    </row>
    <row r="15" spans="1:11" x14ac:dyDescent="0.2">
      <c r="A15" s="4" t="s">
        <v>6</v>
      </c>
      <c r="B15" s="4"/>
      <c r="C15" s="4"/>
      <c r="D15" s="1">
        <f>SUM(D6+F6+H6+J6)</f>
        <v>187</v>
      </c>
      <c r="E15" s="1"/>
      <c r="F15" s="1"/>
      <c r="G15" s="1"/>
      <c r="H15" s="1"/>
      <c r="I15" s="1"/>
      <c r="J15" s="1"/>
      <c r="K15" s="1"/>
    </row>
    <row r="16" spans="1:11" x14ac:dyDescent="0.2">
      <c r="A16" s="4" t="s">
        <v>10</v>
      </c>
      <c r="B16" s="4"/>
      <c r="C16" s="4"/>
      <c r="D16" s="3">
        <f>AVERAGE(D7,F7,H7,J7)</f>
        <v>6.3000000000000007</v>
      </c>
    </row>
    <row r="17" spans="1:4" x14ac:dyDescent="0.2">
      <c r="A17" s="4" t="s">
        <v>23</v>
      </c>
      <c r="B17" s="4"/>
      <c r="C17" s="4"/>
      <c r="D17" s="3">
        <f>SUM(D8,F8,H8,J8)</f>
        <v>1238</v>
      </c>
    </row>
    <row r="18" spans="1:4" x14ac:dyDescent="0.2">
      <c r="A18" s="4" t="s">
        <v>9</v>
      </c>
      <c r="B18" s="4"/>
      <c r="C18" s="4"/>
      <c r="D18" s="3">
        <f>SUM(D9,F9,H9,J9)</f>
        <v>514</v>
      </c>
    </row>
  </sheetData>
  <mergeCells count="10">
    <mergeCell ref="G1:K2"/>
    <mergeCell ref="B13:D14"/>
    <mergeCell ref="A15:C15"/>
    <mergeCell ref="A16:C16"/>
    <mergeCell ref="A17:C17"/>
    <mergeCell ref="A18:C18"/>
    <mergeCell ref="A6:C6"/>
    <mergeCell ref="A7:C7"/>
    <mergeCell ref="A8:C8"/>
    <mergeCell ref="A9:C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Total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Barros</dc:creator>
  <cp:lastModifiedBy>Julio Ribeiro Barros</cp:lastModifiedBy>
  <dcterms:created xsi:type="dcterms:W3CDTF">2019-10-08T17:01:15Z</dcterms:created>
  <dcterms:modified xsi:type="dcterms:W3CDTF">2019-10-14T18:09:11Z</dcterms:modified>
</cp:coreProperties>
</file>