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kbarros/Downloads/"/>
    </mc:Choice>
  </mc:AlternateContent>
  <xr:revisionPtr revIDLastSave="0" documentId="8_{66A100EC-93BD-A24F-981D-38110FEB337A}" xr6:coauthVersionLast="45" xr6:coauthVersionMax="45" xr10:uidLastSave="{00000000-0000-0000-0000-000000000000}"/>
  <bookViews>
    <workbookView xWindow="1320" yWindow="460" windowWidth="25600" windowHeight="15520" tabRatio="500" xr2:uid="{00000000-000D-0000-FFFF-FFFF00000000}"/>
  </bookViews>
  <sheets>
    <sheet name="5B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" i="1" l="1"/>
  <c r="H5" i="1"/>
  <c r="D30" i="1"/>
  <c r="D33" i="1"/>
  <c r="D32" i="1"/>
  <c r="D31" i="1"/>
  <c r="K15" i="1"/>
  <c r="D29" i="1"/>
  <c r="K14" i="1"/>
</calcChain>
</file>

<file path=xl/sharedStrings.xml><?xml version="1.0" encoding="utf-8"?>
<sst xmlns="http://schemas.openxmlformats.org/spreadsheetml/2006/main" count="42" uniqueCount="38">
  <si>
    <t>The Data</t>
  </si>
  <si>
    <t>a.</t>
  </si>
  <si>
    <t>b.</t>
  </si>
  <si>
    <t>=</t>
  </si>
  <si>
    <t>Score</t>
  </si>
  <si>
    <t>If Score is</t>
  </si>
  <si>
    <t>Then Return</t>
  </si>
  <si>
    <t>A</t>
  </si>
  <si>
    <t>B</t>
  </si>
  <si>
    <t>C</t>
  </si>
  <si>
    <t>D</t>
  </si>
  <si>
    <t>F</t>
  </si>
  <si>
    <t xml:space="preserve">Greater than 89 </t>
  </si>
  <si>
    <t>From 80 to 89</t>
  </si>
  <si>
    <t>From 70 to 79</t>
  </si>
  <si>
    <t xml:space="preserve">From 60 to 69 </t>
  </si>
  <si>
    <t xml:space="preserve">Less than 60 </t>
  </si>
  <si>
    <t>Cost</t>
  </si>
  <si>
    <t>Gallon</t>
  </si>
  <si>
    <t>Number of gallons:</t>
  </si>
  <si>
    <t>Project 5B  (IF, AND, OR)</t>
  </si>
  <si>
    <t>Write an AND formula to determine if A6&gt;A7 and A6&lt;A8 is a true or false statement.</t>
  </si>
  <si>
    <t>Write an OR formula to determine if A6&gt;A7 or A6&lt;A8 is a true or false statement.</t>
  </si>
  <si>
    <t>Calculate the average of three scores shown in A14 to A16 =</t>
  </si>
  <si>
    <t>Write an IF statement to assign a letter grade to the average score =</t>
  </si>
  <si>
    <t>(The formula should be able to 'copy' down from cell D29 to D33.)</t>
  </si>
  <si>
    <t>(Hint: Combine 'absolute' and 'relative' cell locations in your formula.)</t>
  </si>
  <si>
    <t>Cost/gallon if &gt;=500 and &lt; 1000 gallons</t>
  </si>
  <si>
    <t xml:space="preserve">Cost/gallon if &lt; 500 gallons </t>
  </si>
  <si>
    <t>Cost/gallon if &gt;= 1000 gallons</t>
  </si>
  <si>
    <t>e.g. for 1000 gallons, it is 1000x$15 = $15,000</t>
  </si>
  <si>
    <t xml:space="preserve">Write a formula to find the cost of 10, 483, 555, 1000 and 2001 gallons. </t>
  </si>
  <si>
    <t>Be smart in your purchase 483 vs 555 gallons !</t>
  </si>
  <si>
    <t>#1</t>
  </si>
  <si>
    <t>#2</t>
  </si>
  <si>
    <t>#3</t>
  </si>
  <si>
    <t xml:space="preserve">Note: Write your formula in the 'Yellow' cells. Only use IF statements. Do NOT use VLOOKUP! </t>
  </si>
  <si>
    <t xml:space="preserve">Only use IF statements. Do NOT use VLOOKUP!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</si>
</sst>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_-&quot;$&quot;* #,##0.00_-;\-&quot;$&quot;* #,##0.00_-;_-&quot;$&quot;* &quot;-&quot;??_-;_-@_-"/>
    <numFmt numFmtId="166" formatCode="&quot;$&quot;#,##0.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40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4" xfId="0" applyBorder="1"/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3" borderId="13" xfId="0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Fill="1" applyBorder="1"/>
    <xf numFmtId="2" fontId="2" fillId="4" borderId="1" xfId="0" applyNumberFormat="1" applyFont="1" applyFill="1" applyBorder="1" applyAlignment="1">
      <alignment horizontal="center" vertical="center"/>
    </xf>
    <xf numFmtId="166" fontId="2" fillId="4" borderId="10" xfId="1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2">
    <cellStyle name="Currency" xfId="11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423081</xdr:colOff>
      <xdr:row>14</xdr:row>
      <xdr:rowOff>129654</xdr:rowOff>
    </xdr:from>
    <xdr:to>
      <xdr:col>9</xdr:col>
      <xdr:colOff>859809</xdr:colOff>
      <xdr:row>15</xdr:row>
      <xdr:rowOff>170597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0522424" y="2982036"/>
          <a:ext cx="436728" cy="245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21" workbookViewId="0">
      <selection activeCell="H7" sqref="H7"/>
    </sheetView>
  </sheetViews>
  <sheetFormatPr baseColWidth="10" defaultColWidth="10.83203125" defaultRowHeight="16" x14ac:dyDescent="0.2"/>
  <cols>
    <col min="1" max="1" width="15.83203125" customWidth="1"/>
    <col min="2" max="2" width="10.1640625" customWidth="1"/>
    <col min="3" max="3" width="33.1640625" customWidth="1"/>
    <col min="4" max="4" width="18" customWidth="1"/>
    <col min="6" max="6" width="12.33203125" customWidth="1"/>
    <col min="7" max="7" width="11.6640625" customWidth="1"/>
    <col min="9" max="10" width="11.6640625" customWidth="1"/>
    <col min="12" max="12" width="2.1640625" customWidth="1"/>
  </cols>
  <sheetData>
    <row r="1" spans="1:12" ht="17" thickBot="1" x14ac:dyDescent="0.25">
      <c r="A1" s="34" t="s">
        <v>20</v>
      </c>
      <c r="B1" s="35"/>
      <c r="C1" s="36"/>
      <c r="D1" t="s">
        <v>36</v>
      </c>
    </row>
    <row r="3" spans="1:12" ht="17" thickBot="1" x14ac:dyDescent="0.25"/>
    <row r="4" spans="1:12" ht="17" thickBot="1" x14ac:dyDescent="0.25">
      <c r="A4" s="15" t="s">
        <v>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3"/>
    </row>
    <row r="5" spans="1:12" ht="17" thickBot="1" x14ac:dyDescent="0.25">
      <c r="A5" s="11" t="s">
        <v>0</v>
      </c>
      <c r="B5" s="6" t="s">
        <v>1</v>
      </c>
      <c r="C5" s="33" t="s">
        <v>21</v>
      </c>
      <c r="D5" s="33"/>
      <c r="E5" s="33"/>
      <c r="F5" s="33"/>
      <c r="G5" s="7" t="s">
        <v>3</v>
      </c>
      <c r="H5" s="28" t="b">
        <f>IF(AND(A6&gt;A7,A6&lt;A8)*TRUE,FALSE)</f>
        <v>0</v>
      </c>
      <c r="I5" s="4"/>
      <c r="J5" s="4"/>
      <c r="K5" s="4"/>
      <c r="L5" s="5"/>
    </row>
    <row r="6" spans="1:12" ht="17" thickBot="1" x14ac:dyDescent="0.25">
      <c r="A6" s="1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ht="17" thickBot="1" x14ac:dyDescent="0.25">
      <c r="A7" s="1">
        <v>9</v>
      </c>
      <c r="B7" s="6" t="s">
        <v>2</v>
      </c>
      <c r="C7" s="33" t="s">
        <v>22</v>
      </c>
      <c r="D7" s="33"/>
      <c r="E7" s="33"/>
      <c r="F7" s="33"/>
      <c r="G7" s="7" t="s">
        <v>3</v>
      </c>
      <c r="H7" s="28" t="b">
        <f>IF(A6&gt;A7,TRUE,OR(IF(A6&lt;A8,FALSE)))</f>
        <v>1</v>
      </c>
      <c r="I7" s="19"/>
      <c r="J7" s="4"/>
      <c r="K7" s="4"/>
      <c r="L7" s="5"/>
    </row>
    <row r="8" spans="1:12" ht="17" thickBot="1" x14ac:dyDescent="0.25">
      <c r="A8" s="2">
        <v>8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spans="1:12" ht="17" thickBot="1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7" thickBot="1" x14ac:dyDescent="0.25"/>
    <row r="12" spans="1:12" ht="17" thickBot="1" x14ac:dyDescent="0.25">
      <c r="A12" s="15" t="s">
        <v>34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3"/>
    </row>
    <row r="13" spans="1:12" ht="17" thickBot="1" x14ac:dyDescent="0.25">
      <c r="A13" s="11" t="s">
        <v>4</v>
      </c>
      <c r="B13" s="4"/>
      <c r="C13" s="11" t="s">
        <v>5</v>
      </c>
      <c r="D13" s="14" t="s">
        <v>6</v>
      </c>
      <c r="E13" s="4"/>
      <c r="F13" s="4"/>
      <c r="G13" s="4"/>
      <c r="H13" s="4"/>
      <c r="I13" s="4"/>
      <c r="J13" s="4"/>
      <c r="K13" s="4"/>
      <c r="L13" s="5"/>
    </row>
    <row r="14" spans="1:12" ht="17" thickBot="1" x14ac:dyDescent="0.25">
      <c r="A14" s="1">
        <v>44</v>
      </c>
      <c r="B14" s="7"/>
      <c r="C14" s="1" t="s">
        <v>12</v>
      </c>
      <c r="D14" s="12" t="s">
        <v>7</v>
      </c>
      <c r="E14" s="20" t="s">
        <v>1</v>
      </c>
      <c r="F14" s="32" t="s">
        <v>23</v>
      </c>
      <c r="G14" s="32"/>
      <c r="H14" s="32"/>
      <c r="I14" s="32"/>
      <c r="J14" s="32"/>
      <c r="K14" s="30">
        <f>AVERAGE(A14:A16)</f>
        <v>70.666666666666671</v>
      </c>
      <c r="L14" s="5"/>
    </row>
    <row r="15" spans="1:12" ht="17" thickBot="1" x14ac:dyDescent="0.25">
      <c r="A15" s="1">
        <v>90</v>
      </c>
      <c r="B15" s="7"/>
      <c r="C15" s="1" t="s">
        <v>13</v>
      </c>
      <c r="D15" s="12" t="s">
        <v>8</v>
      </c>
      <c r="E15" s="20" t="s">
        <v>2</v>
      </c>
      <c r="F15" s="32" t="s">
        <v>24</v>
      </c>
      <c r="G15" s="32"/>
      <c r="H15" s="32"/>
      <c r="I15" s="32"/>
      <c r="J15" s="32"/>
      <c r="K15" s="28" t="str">
        <f>IF(AND(K14=70,K14&lt;79,),K14,"C")</f>
        <v>C</v>
      </c>
      <c r="L15" s="5"/>
    </row>
    <row r="16" spans="1:12" ht="17" thickBot="1" x14ac:dyDescent="0.25">
      <c r="A16" s="2">
        <v>78</v>
      </c>
      <c r="B16" s="7"/>
      <c r="C16" s="1" t="s">
        <v>14</v>
      </c>
      <c r="D16" s="12" t="s">
        <v>9</v>
      </c>
      <c r="E16" s="4"/>
      <c r="F16" s="4"/>
      <c r="G16" s="4"/>
      <c r="H16" s="4"/>
      <c r="I16" s="4"/>
      <c r="J16" s="4"/>
      <c r="K16" s="4"/>
      <c r="L16" s="5"/>
    </row>
    <row r="17" spans="1:12" ht="17" thickBot="1" x14ac:dyDescent="0.25">
      <c r="A17" s="17"/>
      <c r="B17" s="7"/>
      <c r="C17" s="1" t="s">
        <v>15</v>
      </c>
      <c r="D17" s="12" t="s">
        <v>10</v>
      </c>
      <c r="E17" s="4"/>
      <c r="F17" s="4"/>
      <c r="G17" s="37" t="s">
        <v>37</v>
      </c>
      <c r="H17" s="38"/>
      <c r="I17" s="38"/>
      <c r="J17" s="39"/>
      <c r="K17" s="4"/>
      <c r="L17" s="5"/>
    </row>
    <row r="18" spans="1:12" ht="17" thickBot="1" x14ac:dyDescent="0.25">
      <c r="A18" s="17"/>
      <c r="B18" s="7"/>
      <c r="C18" s="2" t="s">
        <v>16</v>
      </c>
      <c r="D18" s="13" t="s">
        <v>11</v>
      </c>
      <c r="E18" s="4"/>
      <c r="F18" s="4"/>
      <c r="G18" s="4"/>
      <c r="H18" s="4"/>
      <c r="I18" s="4"/>
      <c r="J18" s="4"/>
      <c r="K18" s="4"/>
      <c r="L18" s="5"/>
    </row>
    <row r="19" spans="1:12" x14ac:dyDescent="0.2">
      <c r="A19" s="18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</row>
    <row r="20" spans="1:12" ht="17" thickBo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spans="1:12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7" thickBot="1" x14ac:dyDescent="0.25"/>
    <row r="23" spans="1:12" ht="17" thickBot="1" x14ac:dyDescent="0.25">
      <c r="A23" s="15" t="s">
        <v>35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3"/>
    </row>
    <row r="24" spans="1:12" ht="17" thickBot="1" x14ac:dyDescent="0.25">
      <c r="A24" s="18"/>
      <c r="B24" s="11"/>
      <c r="C24" s="14" t="s">
        <v>18</v>
      </c>
      <c r="D24" s="14" t="s">
        <v>17</v>
      </c>
      <c r="E24" s="4"/>
      <c r="F24" s="4"/>
      <c r="G24" s="4"/>
      <c r="H24" s="4"/>
      <c r="I24" s="4"/>
      <c r="J24" s="4"/>
      <c r="K24" s="4"/>
      <c r="L24" s="5"/>
    </row>
    <row r="25" spans="1:12" x14ac:dyDescent="0.2">
      <c r="A25" s="18"/>
      <c r="B25" s="21">
        <v>1</v>
      </c>
      <c r="C25" s="21" t="s">
        <v>28</v>
      </c>
      <c r="D25" s="22">
        <v>23</v>
      </c>
      <c r="E25" s="4"/>
      <c r="F25" s="4"/>
      <c r="G25" s="4"/>
      <c r="H25" s="4"/>
      <c r="I25" s="4"/>
      <c r="J25" s="4"/>
      <c r="K25" s="4"/>
      <c r="L25" s="5"/>
    </row>
    <row r="26" spans="1:12" x14ac:dyDescent="0.2">
      <c r="A26" s="18"/>
      <c r="B26" s="1"/>
      <c r="C26" s="1" t="s">
        <v>27</v>
      </c>
      <c r="D26" s="23">
        <v>20</v>
      </c>
      <c r="E26" s="4"/>
      <c r="F26" s="4"/>
      <c r="G26" s="4"/>
      <c r="H26" s="4"/>
      <c r="I26" s="4"/>
      <c r="J26" s="4"/>
      <c r="K26" s="4"/>
      <c r="L26" s="5"/>
    </row>
    <row r="27" spans="1:12" ht="17" thickBot="1" x14ac:dyDescent="0.25">
      <c r="A27" s="18"/>
      <c r="B27" s="1">
        <v>2</v>
      </c>
      <c r="C27" s="1" t="s">
        <v>29</v>
      </c>
      <c r="D27" s="23">
        <v>15</v>
      </c>
      <c r="E27" s="4"/>
      <c r="F27" s="4"/>
      <c r="G27" s="4"/>
      <c r="H27" s="4"/>
      <c r="I27" s="4"/>
      <c r="J27" s="4"/>
      <c r="K27" s="4"/>
      <c r="L27" s="5"/>
    </row>
    <row r="28" spans="1:12" ht="17" thickBot="1" x14ac:dyDescent="0.25">
      <c r="A28" s="18"/>
      <c r="B28" s="1">
        <v>3</v>
      </c>
      <c r="C28" s="24" t="s">
        <v>19</v>
      </c>
      <c r="D28" s="12"/>
      <c r="E28" s="20" t="s">
        <v>1</v>
      </c>
      <c r="F28" s="32" t="s">
        <v>31</v>
      </c>
      <c r="G28" s="32"/>
      <c r="H28" s="32"/>
      <c r="I28" s="32"/>
      <c r="J28" s="32"/>
      <c r="K28" s="4"/>
      <c r="L28" s="5"/>
    </row>
    <row r="29" spans="1:12" ht="17" thickBot="1" x14ac:dyDescent="0.25">
      <c r="A29" s="18"/>
      <c r="B29" s="1">
        <v>4</v>
      </c>
      <c r="C29" s="25">
        <v>10</v>
      </c>
      <c r="D29" s="31">
        <f>IF(C29&lt;500,D25*C29)</f>
        <v>230</v>
      </c>
      <c r="E29" s="4"/>
      <c r="F29" s="4" t="s">
        <v>25</v>
      </c>
      <c r="G29" s="4"/>
      <c r="H29" s="4"/>
      <c r="I29" s="4"/>
      <c r="J29" s="4"/>
      <c r="K29" s="4"/>
      <c r="L29" s="5"/>
    </row>
    <row r="30" spans="1:12" ht="17" thickBot="1" x14ac:dyDescent="0.25">
      <c r="A30" s="18"/>
      <c r="B30" s="1">
        <v>5</v>
      </c>
      <c r="C30" s="26">
        <v>483</v>
      </c>
      <c r="D30" s="31">
        <f>IF(C30&lt;500,C30*D25)</f>
        <v>11109</v>
      </c>
      <c r="E30" s="4"/>
      <c r="F30" s="4" t="s">
        <v>26</v>
      </c>
      <c r="G30" s="4"/>
      <c r="H30" s="4"/>
      <c r="I30" s="4"/>
      <c r="J30" s="4"/>
      <c r="K30" s="4"/>
      <c r="L30" s="5"/>
    </row>
    <row r="31" spans="1:12" ht="17" thickBot="1" x14ac:dyDescent="0.25">
      <c r="A31" s="18"/>
      <c r="B31" s="1">
        <v>6</v>
      </c>
      <c r="C31" s="26">
        <v>555</v>
      </c>
      <c r="D31" s="31">
        <f>IF(AND(C31&gt;=500,C31&lt;1000),C31*D26)</f>
        <v>11100</v>
      </c>
      <c r="E31" s="4"/>
      <c r="F31" s="4" t="s">
        <v>30</v>
      </c>
      <c r="G31" s="4"/>
      <c r="H31" s="4"/>
      <c r="I31" s="4"/>
      <c r="J31" s="4"/>
      <c r="K31" s="4"/>
      <c r="L31" s="5"/>
    </row>
    <row r="32" spans="1:12" ht="17" thickBot="1" x14ac:dyDescent="0.25">
      <c r="A32" s="18"/>
      <c r="B32" s="1">
        <v>7</v>
      </c>
      <c r="C32" s="26">
        <v>1000</v>
      </c>
      <c r="D32" s="31">
        <f>IF(AND(C32&gt;=500,C32&lt;=1000),C32*D27)</f>
        <v>15000</v>
      </c>
      <c r="E32" s="4"/>
      <c r="F32" s="29" t="s">
        <v>32</v>
      </c>
      <c r="G32" s="4"/>
      <c r="H32" s="4"/>
      <c r="I32" s="4"/>
      <c r="J32" s="4"/>
      <c r="K32" s="4"/>
      <c r="L32" s="5"/>
    </row>
    <row r="33" spans="1:12" ht="17" thickBot="1" x14ac:dyDescent="0.25">
      <c r="A33" s="18"/>
      <c r="B33" s="2">
        <v>8</v>
      </c>
      <c r="C33" s="27">
        <v>2001</v>
      </c>
      <c r="D33" s="31">
        <f>IF(C33&gt;=1000,C33*D27)</f>
        <v>30015</v>
      </c>
      <c r="E33" s="4"/>
      <c r="F33" s="4"/>
      <c r="G33" s="4"/>
      <c r="H33" s="4"/>
      <c r="I33" s="4"/>
      <c r="J33" s="4"/>
      <c r="K33" s="4"/>
      <c r="L33" s="5"/>
    </row>
    <row r="34" spans="1:12" ht="17" thickBo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10"/>
    </row>
  </sheetData>
  <mergeCells count="7">
    <mergeCell ref="F15:J15"/>
    <mergeCell ref="C5:F5"/>
    <mergeCell ref="C7:F7"/>
    <mergeCell ref="F28:J28"/>
    <mergeCell ref="A1:C1"/>
    <mergeCell ref="F14:J14"/>
    <mergeCell ref="G17:J17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Nandhini Krishnamurthi Rajasankaralingam</dc:creator>
  <cp:lastModifiedBy>Julio Ribeiro Barros</cp:lastModifiedBy>
  <dcterms:created xsi:type="dcterms:W3CDTF">2016-02-18T07:05:42Z</dcterms:created>
  <dcterms:modified xsi:type="dcterms:W3CDTF">2019-10-14T18:43:57Z</dcterms:modified>
</cp:coreProperties>
</file>