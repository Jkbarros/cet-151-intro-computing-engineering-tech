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K7z\Downloads\"/>
    </mc:Choice>
  </mc:AlternateContent>
  <xr:revisionPtr revIDLastSave="0" documentId="8_{C9B84F19-EE35-45D4-A306-C4786B429910}" xr6:coauthVersionLast="45" xr6:coauthVersionMax="45" xr10:uidLastSave="{00000000-0000-0000-0000-000000000000}"/>
  <bookViews>
    <workbookView xWindow="-98" yWindow="-98" windowWidth="20715" windowHeight="13276" activeTab="3" xr2:uid="{00000000-000D-0000-FFFF-FFFF00000000}"/>
  </bookViews>
  <sheets>
    <sheet name="Unit 4 - 4A" sheetId="2" r:id="rId1"/>
    <sheet name="Unit 4 - 4B" sheetId="3" r:id="rId2"/>
    <sheet name="Unit 4 - 4Cc" sheetId="1" r:id="rId3"/>
    <sheet name="Unit 4 - 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10" i="4" l="1"/>
  <c r="X11" i="4"/>
  <c r="X12" i="4"/>
  <c r="T12" i="4"/>
  <c r="V12" i="4" s="1"/>
  <c r="L10" i="4"/>
  <c r="L11" i="4"/>
  <c r="L12" i="4"/>
  <c r="X8" i="4"/>
  <c r="X9" i="4"/>
  <c r="X7" i="4"/>
  <c r="T11" i="4" l="1"/>
  <c r="V11" i="4" s="1"/>
  <c r="T10" i="4"/>
  <c r="V10" i="4" s="1"/>
  <c r="T9" i="4"/>
  <c r="V9" i="4" s="1"/>
  <c r="L9" i="4"/>
  <c r="T8" i="4"/>
  <c r="V8" i="4" s="1"/>
  <c r="L8" i="4"/>
  <c r="T7" i="4"/>
  <c r="V7" i="4" s="1"/>
  <c r="L7" i="4"/>
  <c r="H36" i="2" l="1"/>
  <c r="H35" i="2"/>
  <c r="H34" i="2"/>
  <c r="K11" i="3" l="1"/>
  <c r="J15" i="3" l="1"/>
  <c r="F41" i="1" l="1"/>
  <c r="F35" i="1"/>
  <c r="F29" i="1"/>
  <c r="F23" i="1" l="1"/>
  <c r="F18" i="1" l="1"/>
  <c r="I31" i="2" l="1"/>
  <c r="I21" i="2"/>
  <c r="I10" i="2"/>
  <c r="H26" i="2" l="1"/>
  <c r="H25" i="2"/>
  <c r="H24" i="2"/>
  <c r="H16" i="2"/>
  <c r="H14" i="2"/>
  <c r="H15" i="2"/>
  <c r="F17" i="1"/>
  <c r="F11" i="1"/>
  <c r="F5" i="1"/>
</calcChain>
</file>

<file path=xl/sharedStrings.xml><?xml version="1.0" encoding="utf-8"?>
<sst xmlns="http://schemas.openxmlformats.org/spreadsheetml/2006/main" count="99" uniqueCount="84">
  <si>
    <t>Equation -1</t>
  </si>
  <si>
    <t>at X =</t>
  </si>
  <si>
    <t>Y =</t>
  </si>
  <si>
    <t>Equation -2</t>
  </si>
  <si>
    <t>radian</t>
  </si>
  <si>
    <t>Equation -3</t>
  </si>
  <si>
    <t>Equation -4</t>
  </si>
  <si>
    <t>n =</t>
  </si>
  <si>
    <t>Equation -5</t>
  </si>
  <si>
    <t>a =</t>
  </si>
  <si>
    <t>b =</t>
  </si>
  <si>
    <t>c =</t>
  </si>
  <si>
    <t>Equation -6</t>
  </si>
  <si>
    <t>Equation -7</t>
  </si>
  <si>
    <t xml:space="preserve">
</t>
  </si>
  <si>
    <t>NOTE :</t>
  </si>
  <si>
    <t xml:space="preserve"> https://en.wikipedia.org/wiki/Exponential_function</t>
  </si>
  <si>
    <t>https://en.wikipedia.org/wiki/Natural_logarithm</t>
  </si>
  <si>
    <t>https://en.wikipedia.org/wiki/Common_logarithm</t>
  </si>
  <si>
    <t>To know more about exponential function (e) click the below link :</t>
  </si>
  <si>
    <t>To know more about natural logarithm (ln) click the below link :</t>
  </si>
  <si>
    <t>To know more about logarithm with base 10 click the below link :</t>
  </si>
  <si>
    <t>Excel Math Functions</t>
  </si>
  <si>
    <r>
      <t>Y</t>
    </r>
    <r>
      <rPr>
        <sz val="9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(+) =</t>
    </r>
  </si>
  <si>
    <r>
      <t>Y</t>
    </r>
    <r>
      <rPr>
        <sz val="9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(-) =</t>
    </r>
  </si>
  <si>
    <t>There are 7 equations in this project. The input variables are located in columns E, F and G with green color. The result should be placed in the yellow cells with 4 decimal places as shown. Write you math equations to carry out the calculations.</t>
  </si>
  <si>
    <t>Project 4C - Math Equations</t>
  </si>
  <si>
    <t>Unit 4 - 4A</t>
  </si>
  <si>
    <t>Moment of Inertia of Rectangle</t>
  </si>
  <si>
    <t>Width</t>
  </si>
  <si>
    <t xml:space="preserve">Height  </t>
  </si>
  <si>
    <t xml:space="preserve">Area </t>
  </si>
  <si>
    <t xml:space="preserve">Perimeter </t>
  </si>
  <si>
    <t>Moment of Inertia</t>
  </si>
  <si>
    <t>Moment of Inertia Square</t>
  </si>
  <si>
    <t>Length of Side</t>
  </si>
  <si>
    <t>Perimeter</t>
  </si>
  <si>
    <t>Moment of Inertia Circle</t>
  </si>
  <si>
    <t>Radius of Circle</t>
  </si>
  <si>
    <t>Area</t>
  </si>
  <si>
    <t xml:space="preserve">Moment of Inertia </t>
  </si>
  <si>
    <t>Unit 4 - 4B</t>
  </si>
  <si>
    <t>Julio Barros EID:01963387</t>
  </si>
  <si>
    <t xml:space="preserve">1= Convert Centigrade to  Fahrenheit </t>
  </si>
  <si>
    <t>Input either 1 or 2</t>
  </si>
  <si>
    <t>Input Temperature Value is to be converted</t>
  </si>
  <si>
    <t>2= Convert Fahrenheit to Centigrade</t>
  </si>
  <si>
    <t>Final converted temperature</t>
  </si>
  <si>
    <t>No</t>
  </si>
  <si>
    <t>Student Name</t>
  </si>
  <si>
    <t>Assignment</t>
  </si>
  <si>
    <t>Avg (Assignments)</t>
  </si>
  <si>
    <t>Test</t>
  </si>
  <si>
    <t>Avg (Tests)</t>
  </si>
  <si>
    <t>Final Grade</t>
  </si>
  <si>
    <t>GradeLetter</t>
  </si>
  <si>
    <t>First</t>
  </si>
  <si>
    <t>Last</t>
  </si>
  <si>
    <t>A1</t>
  </si>
  <si>
    <t>A2</t>
  </si>
  <si>
    <t>A3</t>
  </si>
  <si>
    <t>A4</t>
  </si>
  <si>
    <t>A5</t>
  </si>
  <si>
    <t>A</t>
  </si>
  <si>
    <t>T1</t>
  </si>
  <si>
    <t>T2</t>
  </si>
  <si>
    <t>T3</t>
  </si>
  <si>
    <t>T</t>
  </si>
  <si>
    <t>Julio</t>
  </si>
  <si>
    <t>Barros</t>
  </si>
  <si>
    <t>Matheus</t>
  </si>
  <si>
    <t>Manco</t>
  </si>
  <si>
    <t>Enzo</t>
  </si>
  <si>
    <t>Dino</t>
  </si>
  <si>
    <t>Megan</t>
  </si>
  <si>
    <t>Sevenz</t>
  </si>
  <si>
    <t>Caio</t>
  </si>
  <si>
    <t>Pino</t>
  </si>
  <si>
    <t>C</t>
  </si>
  <si>
    <t>vlookup Table</t>
  </si>
  <si>
    <t>Fail</t>
  </si>
  <si>
    <t>B</t>
  </si>
  <si>
    <t>Mestre do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</si>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</sst>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"/>
  </numFmts>
  <fonts count="10" x14ac:knownFonts="1">
    <font>
      <sz val="11"/>
      <color theme="1"/>
      <name val="Calibri"/>
      <family val="2"/>
      <scheme val="minor"/>
    </font>
    <font>
      <sz val="11"/>
      <color rgb="FF333333"/>
      <name val="Lucida Sans Unicode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282828"/>
      <name val="Georgia"/>
      <family val="1"/>
    </font>
    <font>
      <b/>
      <sz val="11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/>
    <xf numFmtId="14" fontId="0" fillId="0" borderId="0" xfId="0" applyNumberFormat="1"/>
    <xf numFmtId="0" fontId="0" fillId="0" borderId="0" xfId="0" applyAlignment="1">
      <alignment horizontal="right"/>
    </xf>
    <xf numFmtId="165" fontId="0" fillId="5" borderId="1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vertical="center"/>
    </xf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8" xfId="0" applyBorder="1"/>
    <xf numFmtId="0" fontId="0" fillId="0" borderId="10" xfId="0" applyBorder="1"/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6" borderId="17" xfId="0" applyFill="1" applyBorder="1"/>
    <xf numFmtId="0" fontId="0" fillId="6" borderId="13" xfId="0" applyFill="1" applyBorder="1"/>
    <xf numFmtId="0" fontId="0" fillId="6" borderId="18" xfId="0" applyFill="1" applyBorder="1"/>
    <xf numFmtId="166" fontId="0" fillId="6" borderId="18" xfId="0" applyNumberFormat="1" applyFill="1" applyBorder="1"/>
    <xf numFmtId="0" fontId="0" fillId="6" borderId="19" xfId="0" applyFill="1" applyBorder="1"/>
    <xf numFmtId="0" fontId="0" fillId="6" borderId="20" xfId="0" applyFill="1" applyBorder="1"/>
    <xf numFmtId="166" fontId="0" fillId="6" borderId="21" xfId="0" applyNumberFormat="1" applyFill="1" applyBorder="1"/>
    <xf numFmtId="0" fontId="0" fillId="7" borderId="13" xfId="0" applyFill="1" applyBorder="1"/>
    <xf numFmtId="166" fontId="0" fillId="7" borderId="13" xfId="0" applyNumberFormat="1" applyFill="1" applyBorder="1"/>
    <xf numFmtId="0" fontId="0" fillId="8" borderId="13" xfId="0" applyFill="1" applyBorder="1"/>
    <xf numFmtId="166" fontId="0" fillId="8" borderId="13" xfId="0" applyNumberFormat="1" applyFill="1" applyBorder="1"/>
    <xf numFmtId="16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0" fillId="0" borderId="13" xfId="0" applyBorder="1"/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wrapText="1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8" xfId="1" applyBorder="1" applyAlignment="1">
      <alignment horizontal="center"/>
    </xf>
    <xf numFmtId="0" fontId="4" fillId="0" borderId="9" xfId="1" applyBorder="1" applyAlignment="1">
      <alignment horizontal="center"/>
    </xf>
    <xf numFmtId="0" fontId="4" fillId="0" borderId="10" xfId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6" fillId="0" borderId="0" xfId="1" applyFont="1" applyAlignment="1">
      <alignment horizontal="left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2</xdr:row>
      <xdr:rowOff>171450</xdr:rowOff>
    </xdr:from>
    <xdr:ext cx="2389780" cy="4381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455778" y="539940"/>
              <a:ext cx="2389780" cy="438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400" b="0">
                  <a:latin typeface="+mn-lt"/>
                </a:rPr>
                <a:t>y</a:t>
              </a:r>
              <a:r>
                <a:rPr lang="en-US" sz="1400" b="0" baseline="0">
                  <a:latin typeface="+mn-lt"/>
                </a:rPr>
                <a:t> =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400" b="0" i="1" baseline="0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m:rPr>
                          <m:nor/>
                        </m:rPr>
                        <a:rPr lang="en-US" sz="1400" b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(</m:t>
                      </m:r>
                      <m:r>
                        <m:rPr>
                          <m:nor/>
                        </m:rPr>
                        <a:rPr lang="en-US" sz="1400" b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x</m:t>
                      </m:r>
                      <m:r>
                        <m:rPr>
                          <m:nor/>
                        </m:rPr>
                        <a:rPr lang="en-US" sz="1400" b="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US" sz="1400" b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− </m:t>
                      </m:r>
                      <m:f>
                        <m:fPr>
                          <m:ctrlPr>
                            <a:rPr lang="en-US" sz="1400" b="0" i="1" baseline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1400" b="0" i="1" baseline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5</m:t>
                          </m:r>
                        </m:num>
                        <m:den>
                          <m:r>
                            <a:rPr lang="en-US" sz="1400" b="0" i="1" baseline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den>
                      </m:f>
                      <m:r>
                        <a:rPr lang="en-US" sz="1400" b="0" i="1" baseline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e>
                    <m:sup>
                      <m:r>
                        <a:rPr lang="en-US" sz="1400" b="0" i="1" baseline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6</m:t>
                      </m:r>
                    </m:sup>
                  </m:sSup>
                  <m:r>
                    <a:rPr lang="en-US" sz="1400" b="0" i="1" baseline="0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1400" b="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 baseline="0">
                          <a:latin typeface="Cambria Math" panose="02040503050406030204" pitchFamily="18" charset="0"/>
                        </a:rPr>
                        <m:t>17</m:t>
                      </m:r>
                    </m:num>
                    <m:den>
                      <m:r>
                        <a:rPr lang="en-US" sz="1400" b="0" i="1" baseline="0">
                          <a:latin typeface="Cambria Math" panose="02040503050406030204" pitchFamily="18" charset="0"/>
                        </a:rPr>
                        <m:t>4</m:t>
                      </m:r>
                    </m:den>
                  </m:f>
                </m:oMath>
              </a14:m>
              <a:endParaRPr lang="en-US" sz="1400" b="0">
                <a:latin typeface="+mn-lt"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455778" y="539940"/>
              <a:ext cx="2389780" cy="438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400" b="0">
                  <a:latin typeface="+mn-lt"/>
                </a:rPr>
                <a:t>y</a:t>
              </a:r>
              <a:r>
                <a:rPr lang="en-US" sz="1400" b="0" baseline="0">
                  <a:latin typeface="+mn-lt"/>
                </a:rPr>
                <a:t> = </a:t>
              </a:r>
              <a:r>
                <a:rPr lang="en-US" sz="1400" b="0" i="0" baseline="0">
                  <a:latin typeface="Cambria Math" panose="02040503050406030204" pitchFamily="18" charset="0"/>
                </a:rPr>
                <a:t>〖</a:t>
              </a:r>
              <a:r>
                <a:rPr lang="en-US" sz="14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"(x − </a:t>
              </a:r>
              <a:r>
                <a:rPr lang="en-US" sz="14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5/2)〗^6</a:t>
              </a:r>
              <a:r>
                <a:rPr lang="en-US" sz="1400" b="0" i="0" baseline="0">
                  <a:latin typeface="Cambria Math" panose="02040503050406030204" pitchFamily="18" charset="0"/>
                </a:rPr>
                <a:t>−17/4</a:t>
              </a:r>
              <a:endParaRPr lang="en-US" sz="1400" b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</xdr:col>
      <xdr:colOff>9525</xdr:colOff>
      <xdr:row>9</xdr:row>
      <xdr:rowOff>19051</xdr:rowOff>
    </xdr:from>
    <xdr:ext cx="2583550" cy="3524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446253" y="1663606"/>
              <a:ext cx="2583550" cy="352424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y = </a:t>
              </a:r>
              <a14:m>
                <m:oMath xmlns:m="http://schemas.openxmlformats.org/officeDocument/2006/math">
                  <m:r>
                    <m:rPr>
                      <m:nor/>
                    </m:rPr>
                    <a:rPr lang="en-US" sz="1400" b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sin</m:t>
                  </m:r>
                  <m:r>
                    <m:rPr>
                      <m:nor/>
                    </m:rPr>
                    <a:rPr lang="en-US" sz="1400" b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(2</m:t>
                  </m:r>
                  <m:r>
                    <m:rPr>
                      <m:nor/>
                    </m:rPr>
                    <a:rPr lang="en-US" sz="1400" b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x</m:t>
                  </m:r>
                  <m:r>
                    <m:rPr>
                      <m:nor/>
                    </m:rPr>
                    <a:rPr lang="en-US" sz="1400" b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)</m:t>
                  </m:r>
                  <m:r>
                    <a:rPr lang="en-US" sz="14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r>
                    <m:rPr>
                      <m:nor/>
                    </m:rPr>
                    <a:rPr lang="en-US" sz="14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cos</m:t>
                  </m:r>
                  <m:r>
                    <m:rPr>
                      <m:nor/>
                    </m:rPr>
                    <a:rPr lang="en-US" sz="14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(3</m:t>
                  </m:r>
                  <m:r>
                    <m:rPr>
                      <m:nor/>
                    </m:rPr>
                    <a:rPr lang="en-US" sz="14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x</m:t>
                  </m:r>
                  <m:r>
                    <m:rPr>
                      <m:nor/>
                    </m:rPr>
                    <a:rPr lang="en-US" sz="14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)+</m:t>
                  </m:r>
                  <m:sSup>
                    <m:sSup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m:rPr>
                          <m:sty m:val="p"/>
                        </m:rPr>
                        <a:rPr lang="en-US" sz="14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sin</m:t>
                      </m:r>
                    </m:e>
                    <m:sup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p>
                  </m:sSup>
                  <m:r>
                    <m:rPr>
                      <m:nor/>
                    </m:rPr>
                    <a:rPr lang="en-US" sz="14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(4</m:t>
                  </m:r>
                  <m:r>
                    <m:rPr>
                      <m:nor/>
                    </m:rPr>
                    <a:rPr lang="en-US" sz="14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x</m:t>
                  </m:r>
                  <m:r>
                    <m:rPr>
                      <m:nor/>
                    </m:rPr>
                    <a:rPr lang="en-US" sz="14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)</m:t>
                  </m:r>
                </m:oMath>
              </a14:m>
              <a:endParaRPr lang="en-US" sz="1400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446253" y="1663606"/>
              <a:ext cx="2583550" cy="352424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y = 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"sin(2x)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"×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"cos(3x)+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sin^4 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(4x)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US" sz="1400">
                <a:effectLst/>
              </a:endParaRPr>
            </a:p>
          </xdr:txBody>
        </xdr:sp>
      </mc:Fallback>
    </mc:AlternateContent>
    <xdr:clientData/>
  </xdr:oneCellAnchor>
  <xdr:oneCellAnchor>
    <xdr:from>
      <xdr:col>13</xdr:col>
      <xdr:colOff>170561</xdr:colOff>
      <xdr:row>13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219186" y="35858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419100</xdr:colOff>
      <xdr:row>15</xdr:row>
      <xdr:rowOff>4762</xdr:rowOff>
    </xdr:from>
    <xdr:ext cx="2603879" cy="4143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419100" y="2795729"/>
              <a:ext cx="2603879" cy="414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400" b="0"/>
                <a:t>y</a:t>
              </a:r>
              <a:r>
                <a:rPr lang="en-US" sz="900" b="0"/>
                <a:t>1,2</a:t>
              </a:r>
              <a:r>
                <a:rPr lang="en-US" sz="1400" b="0"/>
                <a:t> 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±</m:t>
                      </m:r>
                      <m:rad>
                        <m:radPr>
                          <m:degHide m:val="on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sSup>
                            <m:sSupPr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𝑏</m:t>
                              </m:r>
                            </m:e>
                            <m:sup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−4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𝑎𝑐</m:t>
                          </m:r>
                        </m:e>
                      </m:rad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</m:den>
                  </m:f>
                </m:oMath>
              </a14:m>
              <a:endParaRPr lang="en-US" sz="1400" b="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419100" y="2795729"/>
              <a:ext cx="2603879" cy="414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400" b="0"/>
                <a:t>y</a:t>
              </a:r>
              <a:r>
                <a:rPr lang="en-US" sz="900" b="0"/>
                <a:t>1,2</a:t>
              </a:r>
              <a:r>
                <a:rPr lang="en-US" sz="1400" b="0"/>
                <a:t> </a:t>
              </a:r>
              <a:r>
                <a:rPr lang="en-US" sz="1400" b="0" i="0">
                  <a:latin typeface="Cambria Math" panose="02040503050406030204" pitchFamily="18" charset="0"/>
                </a:rPr>
                <a:t>=(−𝑏±√(𝑏^2−4𝑎𝑐))/2𝑎</a:t>
              </a:r>
              <a:endParaRPr lang="en-US" sz="1400" b="0"/>
            </a:p>
          </xdr:txBody>
        </xdr:sp>
      </mc:Fallback>
    </mc:AlternateContent>
    <xdr:clientData/>
  </xdr:oneCellAnchor>
  <xdr:oneCellAnchor>
    <xdr:from>
      <xdr:col>1</xdr:col>
      <xdr:colOff>9525</xdr:colOff>
      <xdr:row>20</xdr:row>
      <xdr:rowOff>183676</xdr:rowOff>
    </xdr:from>
    <xdr:ext cx="2481192" cy="4381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446253" y="3923163"/>
              <a:ext cx="2481192" cy="438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400"/>
                <a:t>y </a:t>
              </a:r>
              <a14:m>
                <m:oMath xmlns:m="http://schemas.openxmlformats.org/officeDocument/2006/math">
                  <m:r>
                    <a:rPr lang="en-US" sz="1400" i="1">
                      <a:latin typeface="Cambria Math" panose="02040503050406030204" pitchFamily="18" charset="0"/>
                    </a:rPr>
                    <m:t>=1+</m:t>
                  </m:r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i="1">
                          <a:latin typeface="Cambria Math" panose="02040503050406030204" pitchFamily="18" charset="0"/>
                        </a:rPr>
                        <m:t>𝑛𝑥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!</m:t>
                      </m:r>
                    </m:den>
                  </m:f>
                  <m:r>
                    <a:rPr lang="en-US" sz="1400" i="1">
                      <a:latin typeface="Cambria Math" panose="02040503050406030204" pitchFamily="18" charset="0"/>
                    </a:rPr>
                    <m:t>+</m:t>
                  </m:r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i="1">
                          <a:latin typeface="Cambria Math" panose="02040503050406030204" pitchFamily="18" charset="0"/>
                        </a:rPr>
                        <m:t>𝑛</m:t>
                      </m:r>
                      <m:d>
                        <m:dPr>
                          <m:ctrlPr>
                            <a:rPr lang="en-US" sz="14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n-US" sz="1400" i="1">
                              <a:latin typeface="Cambria Math" panose="02040503050406030204" pitchFamily="18" charset="0"/>
                            </a:rPr>
                            <m:t>𝑛</m:t>
                          </m:r>
                          <m:r>
                            <a:rPr lang="en-US" sz="1400" i="1">
                              <a:latin typeface="Cambria Math" panose="02040503050406030204" pitchFamily="18" charset="0"/>
                            </a:rPr>
                            <m:t>−1</m:t>
                          </m:r>
                        </m:e>
                      </m:d>
                      <m:sSup>
                        <m:sSupPr>
                          <m:ctrlPr>
                            <a:rPr lang="en-US" sz="140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40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p>
                          <m:r>
                            <a:rPr lang="en-US" sz="140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8</m:t>
                      </m:r>
                      <m:r>
                        <a:rPr lang="en-US" sz="1400" i="1">
                          <a:latin typeface="Cambria Math" panose="02040503050406030204" pitchFamily="18" charset="0"/>
                        </a:rPr>
                        <m:t>!</m:t>
                      </m:r>
                    </m:den>
                  </m:f>
                </m:oMath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446253" y="3923163"/>
              <a:ext cx="2481192" cy="438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400"/>
                <a:t>y </a:t>
              </a:r>
              <a:r>
                <a:rPr lang="en-US" sz="1400" i="0">
                  <a:latin typeface="Cambria Math" panose="02040503050406030204" pitchFamily="18" charset="0"/>
                </a:rPr>
                <a:t>=1+𝑛𝑥/</a:t>
              </a:r>
              <a:r>
                <a:rPr lang="en-US" sz="1400" b="0" i="0">
                  <a:latin typeface="Cambria Math" panose="02040503050406030204" pitchFamily="18" charset="0"/>
                </a:rPr>
                <a:t>4</a:t>
              </a:r>
              <a:r>
                <a:rPr lang="en-US" sz="1400" i="0">
                  <a:latin typeface="Cambria Math" panose="02040503050406030204" pitchFamily="18" charset="0"/>
                </a:rPr>
                <a:t>!+(𝑛(𝑛−1) 𝑥^2)/</a:t>
              </a:r>
              <a:r>
                <a:rPr lang="en-US" sz="1400" b="0" i="0">
                  <a:latin typeface="Cambria Math" panose="02040503050406030204" pitchFamily="18" charset="0"/>
                </a:rPr>
                <a:t>8</a:t>
              </a:r>
              <a:r>
                <a:rPr lang="en-US" sz="1400" i="0">
                  <a:latin typeface="Cambria Math" panose="02040503050406030204" pitchFamily="18" charset="0"/>
                </a:rPr>
                <a:t>!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9525</xdr:colOff>
      <xdr:row>27</xdr:row>
      <xdr:rowOff>0</xdr:rowOff>
    </xdr:from>
    <xdr:ext cx="2066925" cy="390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438150" y="4171950"/>
              <a:ext cx="2066925" cy="390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400" b="0"/>
                <a:t>y =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sSup>
                        <m:sSup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p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</m:sup>
                  </m:sSup>
                  <m:r>
                    <a:rPr lang="en-US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×</m:t>
                  </m:r>
                  <m:r>
                    <m:rPr>
                      <m:sty m:val="p"/>
                    </m:rPr>
                    <a:rPr lang="en-US" sz="14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ln</m:t>
                  </m:r>
                  <m:r>
                    <a:rPr lang="en-US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⁡(26)</m:t>
                  </m:r>
                </m:oMath>
              </a14:m>
              <a:endParaRPr lang="en-US" sz="1400" b="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438150" y="4171950"/>
              <a:ext cx="2066925" cy="390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400" b="0"/>
                <a:t>y = </a:t>
              </a:r>
              <a:r>
                <a:rPr lang="en-US" sz="1400" b="0" i="0">
                  <a:latin typeface="Cambria Math" panose="02040503050406030204" pitchFamily="18" charset="0"/>
                </a:rPr>
                <a:t>𝑒^(𝑥^2 )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×ln⁡(26)</a:t>
              </a:r>
              <a:endParaRPr lang="en-US" sz="1400" b="0"/>
            </a:p>
          </xdr:txBody>
        </xdr:sp>
      </mc:Fallback>
    </mc:AlternateContent>
    <xdr:clientData/>
  </xdr:oneCellAnchor>
  <xdr:oneCellAnchor>
    <xdr:from>
      <xdr:col>1</xdr:col>
      <xdr:colOff>19050</xdr:colOff>
      <xdr:row>33</xdr:row>
      <xdr:rowOff>19050</xdr:rowOff>
    </xdr:from>
    <xdr:ext cx="2057400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47675" y="6553200"/>
              <a:ext cx="205740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𝑦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𝑙𝑜</m:t>
                  </m:r>
                  <m:sSub>
                    <m:sSub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𝑔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10</m:t>
                      </m:r>
                    </m:sub>
                  </m:sSub>
                </m:oMath>
              </a14:m>
              <a:r>
                <a:rPr lang="en-US" sz="1400"/>
                <a:t>(x) - sin (3x)</a:t>
              </a:r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447675" y="6553200"/>
              <a:ext cx="205740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400" b="0" i="0">
                  <a:latin typeface="Cambria Math" panose="02040503050406030204" pitchFamily="18" charset="0"/>
                </a:rPr>
                <a:t>𝑦=𝑙𝑜𝑔_10</a:t>
              </a:r>
              <a:r>
                <a:rPr lang="en-US" sz="1400"/>
                <a:t>(x) - sin (3x)</a:t>
              </a:r>
            </a:p>
          </xdr:txBody>
        </xdr:sp>
      </mc:Fallback>
    </mc:AlternateContent>
    <xdr:clientData/>
  </xdr:oneCellAnchor>
  <xdr:oneCellAnchor>
    <xdr:from>
      <xdr:col>1</xdr:col>
      <xdr:colOff>0</xdr:colOff>
      <xdr:row>39</xdr:row>
      <xdr:rowOff>28575</xdr:rowOff>
    </xdr:from>
    <xdr:ext cx="2047875" cy="3333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428625" y="7743825"/>
              <a:ext cx="2047875" cy="33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m:rPr>
                      <m:nor/>
                    </m:rPr>
                    <a:rPr lang="en-US" sz="1400" b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y</m:t>
                  </m:r>
                  <m:r>
                    <m:rPr>
                      <m:nor/>
                    </m:rPr>
                    <a:rPr lang="en-US" sz="1400" b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= </m:t>
                  </m:r>
                  <m:sSup>
                    <m:sSup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m:rPr>
                          <m:sty m:val="p"/>
                        </m:rPr>
                        <a:rPr lang="en-US" sz="14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ln</m:t>
                      </m:r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⁡(</m:t>
                      </m:r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𝑒</m:t>
                      </m:r>
                    </m:e>
                    <m:sup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sup>
                  </m:sSup>
                </m:oMath>
              </a14:m>
              <a:r>
                <a:rPr lang="en-US" sz="1400"/>
                <a:t>)</a:t>
              </a:r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428625" y="7743825"/>
              <a:ext cx="2047875" cy="33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"y = 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〖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ln⁡(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𝑒〗^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US" sz="1400"/>
                <a:t>)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Common_logarithm" TargetMode="External"/><Relationship Id="rId2" Type="http://schemas.openxmlformats.org/officeDocument/2006/relationships/hyperlink" Target="https://en.wikipedia.org/wiki/Natural_logarithm" TargetMode="External"/><Relationship Id="rId1" Type="http://schemas.openxmlformats.org/officeDocument/2006/relationships/hyperlink" Target="https://en.wikipedia.org/wiki/Exponential_function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excelfunctions.net/Excel-Math-Functions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C9C2-67F4-4CEA-9682-42D266AAC2BA}">
  <dimension ref="E1:L36"/>
  <sheetViews>
    <sheetView topLeftCell="A11" workbookViewId="0">
      <selection activeCell="H37" sqref="H37"/>
    </sheetView>
  </sheetViews>
  <sheetFormatPr defaultRowHeight="14.25" x14ac:dyDescent="0.45"/>
  <cols>
    <col min="6" max="6" width="15.265625" bestFit="1" customWidth="1"/>
    <col min="9" max="9" width="9.19921875" bestFit="1" customWidth="1"/>
  </cols>
  <sheetData>
    <row r="1" spans="5:12" x14ac:dyDescent="0.45">
      <c r="E1" s="47" t="s">
        <v>27</v>
      </c>
      <c r="F1" s="47"/>
      <c r="G1" s="47"/>
      <c r="H1" s="47"/>
      <c r="I1" s="47"/>
      <c r="J1" s="47"/>
    </row>
    <row r="2" spans="5:12" x14ac:dyDescent="0.45">
      <c r="E2" s="47"/>
      <c r="F2" s="47"/>
      <c r="G2" s="47"/>
      <c r="H2" s="47"/>
      <c r="I2" s="47"/>
      <c r="J2" s="47"/>
    </row>
    <row r="3" spans="5:12" x14ac:dyDescent="0.45">
      <c r="E3" s="47"/>
      <c r="F3" s="47"/>
      <c r="G3" s="47"/>
      <c r="H3" s="47"/>
      <c r="I3" s="47"/>
      <c r="J3" s="47"/>
    </row>
    <row r="4" spans="5:12" x14ac:dyDescent="0.45">
      <c r="E4" s="47" t="s">
        <v>42</v>
      </c>
      <c r="F4" s="47"/>
      <c r="G4" s="47"/>
      <c r="H4" s="47"/>
      <c r="I4" s="47"/>
      <c r="J4" s="47"/>
    </row>
    <row r="5" spans="5:12" x14ac:dyDescent="0.45">
      <c r="E5" s="47"/>
      <c r="F5" s="47"/>
      <c r="G5" s="47"/>
      <c r="H5" s="47"/>
      <c r="I5" s="47"/>
      <c r="J5" s="47"/>
    </row>
    <row r="6" spans="5:12" ht="14.65" thickBot="1" x14ac:dyDescent="0.5">
      <c r="E6" s="12"/>
      <c r="F6" s="13"/>
      <c r="G6" s="13"/>
      <c r="H6" s="13"/>
      <c r="I6" s="13"/>
      <c r="J6" s="14"/>
    </row>
    <row r="7" spans="5:12" x14ac:dyDescent="0.45">
      <c r="F7" s="39" t="s">
        <v>28</v>
      </c>
      <c r="G7" s="40"/>
      <c r="H7" s="40"/>
      <c r="I7" s="41"/>
      <c r="J7" s="18"/>
    </row>
    <row r="8" spans="5:12" x14ac:dyDescent="0.45">
      <c r="E8" s="17"/>
      <c r="F8" s="42"/>
      <c r="G8" s="43"/>
      <c r="H8" s="43"/>
      <c r="I8" s="44"/>
      <c r="J8" s="18"/>
    </row>
    <row r="9" spans="5:12" x14ac:dyDescent="0.45">
      <c r="E9" s="17"/>
      <c r="F9" s="42"/>
      <c r="G9" s="43"/>
      <c r="H9" s="43"/>
      <c r="I9" s="44"/>
      <c r="J9" s="18"/>
    </row>
    <row r="10" spans="5:12" x14ac:dyDescent="0.45">
      <c r="E10" s="12"/>
      <c r="F10" s="19" t="s">
        <v>29</v>
      </c>
      <c r="G10" s="20"/>
      <c r="H10" s="21">
        <v>4.5</v>
      </c>
      <c r="I10" t="str">
        <f>IF(H10&lt;=0,"Wrong Dimension","")</f>
        <v/>
      </c>
      <c r="J10" s="14"/>
    </row>
    <row r="11" spans="5:12" x14ac:dyDescent="0.45">
      <c r="E11" s="12"/>
      <c r="F11" s="19" t="s">
        <v>30</v>
      </c>
      <c r="G11" s="20"/>
      <c r="H11" s="21">
        <v>3.5</v>
      </c>
      <c r="J11" s="14"/>
    </row>
    <row r="12" spans="5:12" x14ac:dyDescent="0.45">
      <c r="E12" s="12"/>
      <c r="F12" s="19"/>
      <c r="G12" s="20"/>
      <c r="H12" s="21"/>
      <c r="J12" s="14"/>
    </row>
    <row r="13" spans="5:12" x14ac:dyDescent="0.45">
      <c r="E13" s="12"/>
      <c r="F13" s="19"/>
      <c r="G13" s="20"/>
      <c r="H13" s="21"/>
      <c r="J13" s="14"/>
    </row>
    <row r="14" spans="5:12" x14ac:dyDescent="0.45">
      <c r="E14" s="12"/>
      <c r="F14" s="19" t="s">
        <v>31</v>
      </c>
      <c r="G14" s="20"/>
      <c r="H14" s="22">
        <f>IF(I10="Wrong Dimension"," ",H10*H11)</f>
        <v>15.75</v>
      </c>
      <c r="J14" s="14"/>
    </row>
    <row r="15" spans="5:12" x14ac:dyDescent="0.45">
      <c r="E15" s="12"/>
      <c r="F15" s="19" t="s">
        <v>32</v>
      </c>
      <c r="G15" s="20"/>
      <c r="H15" s="22">
        <f>IF(I10="Wrong Dimension"," ",2*H10+2*H11)</f>
        <v>16</v>
      </c>
      <c r="J15" s="14"/>
    </row>
    <row r="16" spans="5:12" ht="15.75" thickBot="1" x14ac:dyDescent="0.5">
      <c r="E16" s="12"/>
      <c r="F16" s="23" t="s">
        <v>33</v>
      </c>
      <c r="G16" s="24"/>
      <c r="H16" s="25">
        <f>IF(I10="Wrong Dimension"," ",H10*(H11^3)/12)</f>
        <v>16.078125</v>
      </c>
      <c r="J16" s="14"/>
      <c r="L16" s="10"/>
    </row>
    <row r="17" spans="5:10" x14ac:dyDescent="0.45">
      <c r="E17" s="12"/>
      <c r="F17" s="13"/>
      <c r="G17" s="13"/>
      <c r="H17" s="13"/>
      <c r="I17" s="13"/>
      <c r="J17" s="14"/>
    </row>
    <row r="18" spans="5:10" x14ac:dyDescent="0.45">
      <c r="F18" s="45" t="s">
        <v>34</v>
      </c>
      <c r="G18" s="45"/>
      <c r="H18" s="45"/>
      <c r="I18" s="45"/>
      <c r="J18" s="18"/>
    </row>
    <row r="19" spans="5:10" x14ac:dyDescent="0.45">
      <c r="E19" s="17"/>
      <c r="F19" s="45"/>
      <c r="G19" s="45"/>
      <c r="H19" s="45"/>
      <c r="I19" s="45"/>
      <c r="J19" s="18"/>
    </row>
    <row r="20" spans="5:10" x14ac:dyDescent="0.45">
      <c r="E20" s="17"/>
      <c r="F20" s="45"/>
      <c r="G20" s="45"/>
      <c r="H20" s="45"/>
      <c r="I20" s="45"/>
      <c r="J20" s="18"/>
    </row>
    <row r="21" spans="5:10" x14ac:dyDescent="0.45">
      <c r="E21" s="12"/>
      <c r="F21" s="26" t="s">
        <v>35</v>
      </c>
      <c r="G21" s="26"/>
      <c r="H21" s="26">
        <v>4.5</v>
      </c>
      <c r="I21" t="str">
        <f>IF(H21&lt;=0,"Wrong Dimension","")</f>
        <v/>
      </c>
      <c r="J21" s="14"/>
    </row>
    <row r="22" spans="5:10" x14ac:dyDescent="0.45">
      <c r="E22" s="12"/>
      <c r="F22" s="26"/>
      <c r="G22" s="26"/>
      <c r="H22" s="26"/>
      <c r="J22" s="14"/>
    </row>
    <row r="23" spans="5:10" x14ac:dyDescent="0.45">
      <c r="E23" s="12"/>
      <c r="F23" s="26"/>
      <c r="G23" s="26"/>
      <c r="H23" s="26"/>
      <c r="J23" s="14"/>
    </row>
    <row r="24" spans="5:10" x14ac:dyDescent="0.45">
      <c r="E24" s="12"/>
      <c r="F24" s="26" t="s">
        <v>31</v>
      </c>
      <c r="G24" s="26"/>
      <c r="H24" s="27">
        <f>IF(I21="Wrong Dimension"," ",H21^2)</f>
        <v>20.25</v>
      </c>
      <c r="J24" s="14"/>
    </row>
    <row r="25" spans="5:10" x14ac:dyDescent="0.45">
      <c r="E25" s="12"/>
      <c r="F25" s="26" t="s">
        <v>36</v>
      </c>
      <c r="G25" s="26"/>
      <c r="H25" s="27">
        <f>IF(I21="Wrong Dimension"," ",4*H21)</f>
        <v>18</v>
      </c>
      <c r="J25" s="14"/>
    </row>
    <row r="26" spans="5:10" x14ac:dyDescent="0.45">
      <c r="E26" s="12"/>
      <c r="F26" s="26" t="s">
        <v>33</v>
      </c>
      <c r="G26" s="26"/>
      <c r="H26" s="27">
        <f>IF(I21="Wrong Dimension"," ",(H21^4)/12)</f>
        <v>34.171875</v>
      </c>
      <c r="J26" s="14"/>
    </row>
    <row r="27" spans="5:10" x14ac:dyDescent="0.45">
      <c r="E27" s="12"/>
      <c r="F27" s="13"/>
      <c r="G27" s="13"/>
      <c r="H27" s="13"/>
      <c r="I27" s="13"/>
      <c r="J27" s="14"/>
    </row>
    <row r="28" spans="5:10" x14ac:dyDescent="0.45">
      <c r="F28" s="46" t="s">
        <v>37</v>
      </c>
      <c r="G28" s="46"/>
      <c r="H28" s="46"/>
      <c r="I28" s="46"/>
      <c r="J28" s="18"/>
    </row>
    <row r="29" spans="5:10" x14ac:dyDescent="0.45">
      <c r="E29" s="17"/>
      <c r="F29" s="46"/>
      <c r="G29" s="46"/>
      <c r="H29" s="46"/>
      <c r="I29" s="46"/>
      <c r="J29" s="18"/>
    </row>
    <row r="30" spans="5:10" x14ac:dyDescent="0.45">
      <c r="E30" s="17"/>
      <c r="F30" s="46"/>
      <c r="G30" s="46"/>
      <c r="H30" s="46"/>
      <c r="I30" s="46"/>
      <c r="J30" s="18"/>
    </row>
    <row r="31" spans="5:10" x14ac:dyDescent="0.45">
      <c r="E31" s="12"/>
      <c r="F31" s="28" t="s">
        <v>38</v>
      </c>
      <c r="G31" s="28"/>
      <c r="H31" s="28">
        <v>4.5</v>
      </c>
      <c r="I31" t="str">
        <f>IF(H31&lt;=0,"Wrong Dimension","")</f>
        <v/>
      </c>
      <c r="J31" s="14"/>
    </row>
    <row r="32" spans="5:10" x14ac:dyDescent="0.45">
      <c r="E32" s="12"/>
      <c r="F32" s="28"/>
      <c r="G32" s="28"/>
      <c r="H32" s="28"/>
      <c r="J32" s="14"/>
    </row>
    <row r="33" spans="5:10" x14ac:dyDescent="0.45">
      <c r="E33" s="12"/>
      <c r="F33" s="28"/>
      <c r="G33" s="28"/>
      <c r="H33" s="28"/>
      <c r="J33" s="14"/>
    </row>
    <row r="34" spans="5:10" x14ac:dyDescent="0.45">
      <c r="E34" s="12"/>
      <c r="F34" s="28" t="s">
        <v>39</v>
      </c>
      <c r="G34" s="28"/>
      <c r="H34" s="29">
        <f>IF(I31="Wrong Dimension"," ",PI()*H31^2)</f>
        <v>63.617251235193308</v>
      </c>
      <c r="J34" s="14"/>
    </row>
    <row r="35" spans="5:10" x14ac:dyDescent="0.45">
      <c r="E35" s="12"/>
      <c r="F35" s="28" t="s">
        <v>36</v>
      </c>
      <c r="G35" s="28"/>
      <c r="H35" s="29">
        <f>IF(I31="Wrong Dimension"," ",2*PI()*H31)</f>
        <v>28.274333882308138</v>
      </c>
      <c r="J35" s="14"/>
    </row>
    <row r="36" spans="5:10" ht="14.65" thickBot="1" x14ac:dyDescent="0.5">
      <c r="E36" s="15"/>
      <c r="F36" s="28" t="s">
        <v>40</v>
      </c>
      <c r="G36" s="28"/>
      <c r="H36" s="29">
        <f>IF(I31="Wrong Dimension"," ",PI()*H31^4/4)</f>
        <v>322.06233437816616</v>
      </c>
      <c r="J36" s="16"/>
    </row>
  </sheetData>
  <mergeCells count="5">
    <mergeCell ref="F7:I9"/>
    <mergeCell ref="F18:I20"/>
    <mergeCell ref="F28:I30"/>
    <mergeCell ref="E1:J3"/>
    <mergeCell ref="E4:J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EF9F-8FB0-4AA3-A3FA-52FA66F10630}">
  <dimension ref="F3:K15"/>
  <sheetViews>
    <sheetView workbookViewId="0">
      <selection activeCell="J12" sqref="J12"/>
    </sheetView>
  </sheetViews>
  <sheetFormatPr defaultRowHeight="14.25" x14ac:dyDescent="0.45"/>
  <cols>
    <col min="7" max="7" width="15.1328125" bestFit="1" customWidth="1"/>
    <col min="8" max="8" width="9.06640625" customWidth="1"/>
    <col min="9" max="9" width="10.3984375" customWidth="1"/>
  </cols>
  <sheetData>
    <row r="3" spans="6:11" x14ac:dyDescent="0.45">
      <c r="F3" s="11"/>
      <c r="G3" s="51" t="s">
        <v>41</v>
      </c>
      <c r="H3" s="51"/>
      <c r="I3" s="51"/>
      <c r="J3" s="51"/>
    </row>
    <row r="4" spans="6:11" x14ac:dyDescent="0.45">
      <c r="F4" s="11"/>
      <c r="G4" s="51"/>
      <c r="H4" s="51"/>
      <c r="I4" s="51"/>
      <c r="J4" s="51"/>
    </row>
    <row r="5" spans="6:11" x14ac:dyDescent="0.45">
      <c r="F5" s="11"/>
      <c r="G5" s="51"/>
      <c r="H5" s="51"/>
      <c r="I5" s="51"/>
      <c r="J5" s="51"/>
    </row>
    <row r="6" spans="6:11" x14ac:dyDescent="0.45">
      <c r="F6" s="11"/>
      <c r="G6" s="51" t="s">
        <v>42</v>
      </c>
      <c r="H6" s="51"/>
      <c r="I6" s="51"/>
      <c r="J6" s="51"/>
    </row>
    <row r="7" spans="6:11" x14ac:dyDescent="0.45">
      <c r="F7" s="11"/>
      <c r="G7" s="51"/>
      <c r="H7" s="51"/>
      <c r="I7" s="51"/>
      <c r="J7" s="51"/>
    </row>
    <row r="8" spans="6:11" x14ac:dyDescent="0.45">
      <c r="G8" s="48" t="s">
        <v>43</v>
      </c>
      <c r="H8" s="48"/>
      <c r="I8" s="48"/>
      <c r="J8" s="5"/>
    </row>
    <row r="9" spans="6:11" x14ac:dyDescent="0.45">
      <c r="G9" s="48" t="s">
        <v>46</v>
      </c>
      <c r="H9" s="48"/>
      <c r="I9" s="48"/>
      <c r="J9" s="5"/>
    </row>
    <row r="10" spans="6:11" x14ac:dyDescent="0.45">
      <c r="G10" s="49"/>
      <c r="H10" s="49"/>
      <c r="I10" s="49"/>
    </row>
    <row r="11" spans="6:11" x14ac:dyDescent="0.45">
      <c r="G11" s="48" t="s">
        <v>44</v>
      </c>
      <c r="H11" s="48"/>
      <c r="I11" s="48"/>
      <c r="J11">
        <v>1</v>
      </c>
      <c r="K11" t="str">
        <f>IF(J11=1," ",IF(J11=2," ","Wrong Entry"))</f>
        <v xml:space="preserve"> </v>
      </c>
    </row>
    <row r="12" spans="6:11" x14ac:dyDescent="0.45">
      <c r="G12" s="48" t="s">
        <v>45</v>
      </c>
      <c r="H12" s="48"/>
      <c r="I12" s="48"/>
      <c r="J12">
        <v>97</v>
      </c>
    </row>
    <row r="15" spans="6:11" x14ac:dyDescent="0.45">
      <c r="G15" s="50" t="s">
        <v>47</v>
      </c>
      <c r="H15" s="50"/>
      <c r="I15" s="50"/>
      <c r="J15" s="30">
        <f>IF(J11=1,(J12*9/5+32),IF(J11=2,(J12-32)*5/9,"Error"))</f>
        <v>206.6</v>
      </c>
    </row>
  </sheetData>
  <mergeCells count="8">
    <mergeCell ref="G11:I11"/>
    <mergeCell ref="G12:I12"/>
    <mergeCell ref="G10:I10"/>
    <mergeCell ref="G15:I15"/>
    <mergeCell ref="G3:J5"/>
    <mergeCell ref="G6:J7"/>
    <mergeCell ref="G8:I8"/>
    <mergeCell ref="G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opLeftCell="A15" workbookViewId="0">
      <selection activeCell="H30" sqref="H30"/>
    </sheetView>
  </sheetViews>
  <sheetFormatPr defaultColWidth="8.796875" defaultRowHeight="14.25" x14ac:dyDescent="0.45"/>
  <cols>
    <col min="1" max="1" width="6.265625" customWidth="1"/>
    <col min="3" max="3" width="13.796875" customWidth="1"/>
    <col min="4" max="4" width="17.265625" customWidth="1"/>
    <col min="5" max="5" width="9.46484375" bestFit="1" customWidth="1"/>
    <col min="6" max="6" width="13.265625" customWidth="1"/>
    <col min="7" max="7" width="10.6640625" customWidth="1"/>
  </cols>
  <sheetData>
    <row r="1" spans="1:16" ht="14.55" customHeight="1" thickBot="1" x14ac:dyDescent="0.5">
      <c r="A1" s="85" t="s">
        <v>26</v>
      </c>
      <c r="B1" s="86"/>
      <c r="C1" s="87"/>
      <c r="D1" s="7"/>
      <c r="E1" s="6"/>
      <c r="H1" s="76" t="s">
        <v>25</v>
      </c>
      <c r="I1" s="77"/>
      <c r="J1" s="77"/>
      <c r="K1" s="77"/>
      <c r="L1" s="77"/>
      <c r="M1" s="78"/>
    </row>
    <row r="2" spans="1:16" ht="14.65" thickBot="1" x14ac:dyDescent="0.5">
      <c r="H2" s="79"/>
      <c r="I2" s="80"/>
      <c r="J2" s="80"/>
      <c r="K2" s="80"/>
      <c r="L2" s="80"/>
      <c r="M2" s="81"/>
      <c r="N2" s="5"/>
      <c r="O2" s="5"/>
      <c r="P2" s="5"/>
    </row>
    <row r="3" spans="1:16" ht="14.65" thickBot="1" x14ac:dyDescent="0.5">
      <c r="B3" s="52" t="s">
        <v>0</v>
      </c>
      <c r="C3" s="53"/>
      <c r="D3" s="54"/>
      <c r="H3" s="79"/>
      <c r="I3" s="80"/>
      <c r="J3" s="80"/>
      <c r="K3" s="80"/>
      <c r="L3" s="80"/>
      <c r="M3" s="81"/>
      <c r="N3" s="5"/>
      <c r="O3" s="5"/>
      <c r="P3" s="5"/>
    </row>
    <row r="4" spans="1:16" ht="14.65" thickBot="1" x14ac:dyDescent="0.5">
      <c r="B4" s="68"/>
      <c r="C4" s="56"/>
      <c r="D4" s="57"/>
      <c r="E4" s="1" t="s">
        <v>1</v>
      </c>
      <c r="F4" s="9">
        <v>4</v>
      </c>
      <c r="H4" s="79"/>
      <c r="I4" s="80"/>
      <c r="J4" s="80"/>
      <c r="K4" s="80"/>
      <c r="L4" s="80"/>
      <c r="M4" s="81"/>
      <c r="N4" s="5"/>
      <c r="O4" s="5"/>
      <c r="P4" s="5"/>
    </row>
    <row r="5" spans="1:16" ht="18.850000000000001" customHeight="1" thickBot="1" x14ac:dyDescent="0.5">
      <c r="B5" s="58"/>
      <c r="C5" s="59"/>
      <c r="D5" s="60"/>
      <c r="E5" s="3" t="s">
        <v>2</v>
      </c>
      <c r="F5" s="8">
        <f>(F4-5/2)^6-17/4</f>
        <v>7.140625</v>
      </c>
      <c r="H5" s="82"/>
      <c r="I5" s="83"/>
      <c r="J5" s="83"/>
      <c r="K5" s="83"/>
      <c r="L5" s="83"/>
      <c r="M5" s="84"/>
      <c r="N5" s="5"/>
      <c r="O5" s="5"/>
      <c r="P5" s="5"/>
    </row>
    <row r="6" spans="1:16" x14ac:dyDescent="0.45">
      <c r="H6" s="75" t="s">
        <v>22</v>
      </c>
      <c r="I6" s="75"/>
      <c r="J6" s="75"/>
      <c r="K6" s="5"/>
      <c r="L6" s="5"/>
      <c r="M6" s="5"/>
      <c r="N6" s="5"/>
      <c r="O6" s="5"/>
      <c r="P6" s="5"/>
    </row>
    <row r="7" spans="1:16" x14ac:dyDescent="0.45">
      <c r="H7" s="5"/>
      <c r="I7" s="5"/>
      <c r="J7" s="5"/>
      <c r="K7" s="5"/>
      <c r="L7" s="5"/>
      <c r="M7" s="5"/>
      <c r="N7" s="5"/>
      <c r="O7" s="5"/>
      <c r="P7" s="5"/>
    </row>
    <row r="8" spans="1:16" ht="14.65" thickBot="1" x14ac:dyDescent="0.5">
      <c r="H8" s="5"/>
      <c r="I8" s="5"/>
      <c r="J8" s="5"/>
      <c r="K8" s="5"/>
      <c r="L8" s="5"/>
      <c r="M8" s="5"/>
      <c r="N8" s="5"/>
      <c r="O8" s="5"/>
      <c r="P8" s="5"/>
    </row>
    <row r="9" spans="1:16" ht="14.65" thickBot="1" x14ac:dyDescent="0.5">
      <c r="B9" s="52" t="s">
        <v>3</v>
      </c>
      <c r="C9" s="53"/>
      <c r="D9" s="54"/>
      <c r="H9" s="5"/>
      <c r="I9" s="5"/>
      <c r="J9" s="5"/>
      <c r="K9" s="5"/>
      <c r="L9" s="5"/>
      <c r="M9" s="5"/>
      <c r="N9" s="5"/>
      <c r="O9" s="5"/>
      <c r="P9" s="5"/>
    </row>
    <row r="10" spans="1:16" ht="14.65" thickBot="1" x14ac:dyDescent="0.5">
      <c r="B10" s="68"/>
      <c r="C10" s="56"/>
      <c r="D10" s="57"/>
      <c r="E10" s="1" t="s">
        <v>1</v>
      </c>
      <c r="F10" s="9">
        <v>5</v>
      </c>
      <c r="G10" s="1" t="s">
        <v>4</v>
      </c>
      <c r="H10" s="5"/>
      <c r="I10" s="5"/>
      <c r="J10" s="5"/>
      <c r="K10" s="5"/>
      <c r="L10" s="5"/>
      <c r="M10" s="5"/>
      <c r="N10" s="5"/>
      <c r="O10" s="5"/>
      <c r="P10" s="5"/>
    </row>
    <row r="11" spans="1:16" ht="14.65" thickBot="1" x14ac:dyDescent="0.5">
      <c r="B11" s="58"/>
      <c r="C11" s="59"/>
      <c r="D11" s="60"/>
      <c r="E11" s="3" t="s">
        <v>2</v>
      </c>
      <c r="F11" s="8">
        <f>SIN(2*F10)*COS(3*F10)+SIN(4*F10)^4</f>
        <v>1.1079568876289327</v>
      </c>
      <c r="G11" s="2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45"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45">
      <c r="H13" s="5"/>
      <c r="I13" s="5"/>
      <c r="J13" s="5"/>
      <c r="K13" s="5"/>
      <c r="L13" s="5"/>
      <c r="M13" s="5"/>
      <c r="N13" s="5"/>
      <c r="O13" s="5"/>
      <c r="P13" s="5"/>
    </row>
    <row r="14" spans="1:16" ht="14.65" thickBot="1" x14ac:dyDescent="0.5">
      <c r="E14" s="1"/>
      <c r="F14" s="1"/>
      <c r="G14" s="1"/>
      <c r="H14" s="5"/>
      <c r="I14" s="5"/>
      <c r="J14" s="5"/>
      <c r="K14" s="5"/>
      <c r="L14" s="5"/>
      <c r="M14" s="5"/>
      <c r="N14" s="5"/>
      <c r="O14" s="5"/>
      <c r="P14" s="5"/>
    </row>
    <row r="15" spans="1:16" ht="14.65" thickBot="1" x14ac:dyDescent="0.5">
      <c r="B15" s="52" t="s">
        <v>5</v>
      </c>
      <c r="C15" s="53"/>
      <c r="D15" s="54"/>
      <c r="E15" s="1" t="s">
        <v>9</v>
      </c>
      <c r="F15" s="1" t="s">
        <v>10</v>
      </c>
      <c r="G15" s="1" t="s">
        <v>11</v>
      </c>
      <c r="H15" s="5"/>
      <c r="I15" s="5"/>
      <c r="J15" s="5"/>
      <c r="K15" s="5"/>
      <c r="L15" s="5"/>
      <c r="M15" s="5"/>
      <c r="N15" s="5"/>
      <c r="O15" s="5"/>
      <c r="P15" s="5"/>
    </row>
    <row r="16" spans="1:16" ht="18" customHeight="1" thickBot="1" x14ac:dyDescent="0.5">
      <c r="B16" s="68"/>
      <c r="C16" s="56"/>
      <c r="D16" s="57"/>
      <c r="E16" s="9">
        <v>25</v>
      </c>
      <c r="F16" s="9">
        <v>66</v>
      </c>
      <c r="G16" s="9">
        <v>9</v>
      </c>
      <c r="H16" s="5"/>
      <c r="I16" s="5"/>
      <c r="J16" s="5"/>
      <c r="K16" s="5"/>
      <c r="L16" s="5"/>
      <c r="M16" s="5"/>
      <c r="N16" s="5"/>
      <c r="O16" s="5"/>
      <c r="P16" s="5"/>
    </row>
    <row r="17" spans="2:16" ht="14.65" thickBot="1" x14ac:dyDescent="0.5">
      <c r="B17" s="58"/>
      <c r="C17" s="59"/>
      <c r="D17" s="60"/>
      <c r="E17" s="4" t="s">
        <v>23</v>
      </c>
      <c r="F17" s="8">
        <f>(-F16+SQRT(F16^2-4*E16*G16))/(2*E16)</f>
        <v>-0.14424492346407447</v>
      </c>
      <c r="G17" s="1"/>
      <c r="H17" s="5"/>
      <c r="I17" s="5"/>
      <c r="J17" s="5"/>
      <c r="K17" s="5"/>
      <c r="L17" s="5"/>
      <c r="M17" s="5"/>
      <c r="N17" s="5"/>
      <c r="O17" s="5"/>
      <c r="P17" s="5"/>
    </row>
    <row r="18" spans="2:16" ht="14.65" thickBot="1" x14ac:dyDescent="0.5">
      <c r="E18" s="3" t="s">
        <v>24</v>
      </c>
      <c r="F18" s="8">
        <f>-(F16+SQRT(F16^2-4*E16*G16))/(2*E16)</f>
        <v>-2.4957550765359255</v>
      </c>
      <c r="H18" s="5"/>
      <c r="I18" s="5"/>
      <c r="J18" s="5"/>
      <c r="K18" s="5"/>
      <c r="L18" s="5"/>
      <c r="M18" s="5"/>
      <c r="N18" s="5"/>
      <c r="O18" s="5"/>
      <c r="P18" s="5"/>
    </row>
    <row r="20" spans="2:16" ht="14.65" thickBot="1" x14ac:dyDescent="0.5"/>
    <row r="21" spans="2:16" ht="14.65" thickBot="1" x14ac:dyDescent="0.5">
      <c r="B21" s="52" t="s">
        <v>6</v>
      </c>
      <c r="C21" s="53"/>
      <c r="D21" s="54"/>
      <c r="E21" s="1" t="s">
        <v>7</v>
      </c>
      <c r="F21" s="9">
        <v>2</v>
      </c>
      <c r="G21" s="1"/>
    </row>
    <row r="22" spans="2:16" ht="14.65" thickBot="1" x14ac:dyDescent="0.5">
      <c r="B22" s="68"/>
      <c r="C22" s="56"/>
      <c r="D22" s="57"/>
      <c r="E22" s="1" t="s">
        <v>1</v>
      </c>
      <c r="F22" s="9">
        <v>1.5</v>
      </c>
      <c r="G22" s="1"/>
    </row>
    <row r="23" spans="2:16" ht="20.95" customHeight="1" thickBot="1" x14ac:dyDescent="0.5">
      <c r="B23" s="58"/>
      <c r="C23" s="59"/>
      <c r="D23" s="60"/>
      <c r="E23" s="3" t="s">
        <v>2</v>
      </c>
      <c r="F23" s="8">
        <f>1+(F21*F22)/FACT(4)+(F21*(F21-1)*F22^2)/FACT(8)</f>
        <v>1.1251116071428571</v>
      </c>
      <c r="G23" s="1"/>
    </row>
    <row r="24" spans="2:16" x14ac:dyDescent="0.45">
      <c r="E24" s="1"/>
      <c r="F24" s="1"/>
      <c r="G24" s="1"/>
    </row>
    <row r="26" spans="2:16" ht="14.65" thickBot="1" x14ac:dyDescent="0.5"/>
    <row r="27" spans="2:16" ht="14.65" thickBot="1" x14ac:dyDescent="0.5">
      <c r="B27" s="52" t="s">
        <v>8</v>
      </c>
      <c r="C27" s="53"/>
      <c r="D27" s="54"/>
    </row>
    <row r="28" spans="2:16" ht="14.65" thickBot="1" x14ac:dyDescent="0.5">
      <c r="B28" s="68"/>
      <c r="C28" s="56"/>
      <c r="D28" s="57"/>
      <c r="E28" s="1" t="s">
        <v>1</v>
      </c>
      <c r="F28" s="9">
        <v>2</v>
      </c>
      <c r="G28" s="1"/>
    </row>
    <row r="29" spans="2:16" ht="14.65" thickBot="1" x14ac:dyDescent="0.5">
      <c r="B29" s="58"/>
      <c r="C29" s="59"/>
      <c r="D29" s="60"/>
      <c r="E29" s="3" t="s">
        <v>2</v>
      </c>
      <c r="F29" s="8">
        <f>EXP(2^2)*LN(26)</f>
        <v>177.8860436053647</v>
      </c>
      <c r="G29" s="1"/>
    </row>
    <row r="30" spans="2:16" ht="14.65" thickBot="1" x14ac:dyDescent="0.5">
      <c r="E30" s="1"/>
      <c r="F30" s="1"/>
      <c r="G30" s="1"/>
    </row>
    <row r="31" spans="2:16" ht="14.65" thickBot="1" x14ac:dyDescent="0.5">
      <c r="H31" s="61" t="s">
        <v>15</v>
      </c>
      <c r="I31" s="62"/>
    </row>
    <row r="32" spans="2:16" ht="14.65" thickBot="1" x14ac:dyDescent="0.5">
      <c r="H32" s="63" t="s">
        <v>19</v>
      </c>
      <c r="I32" s="64"/>
      <c r="J32" s="64"/>
      <c r="K32" s="64"/>
      <c r="L32" s="64"/>
      <c r="M32" s="64"/>
      <c r="N32" s="64"/>
      <c r="O32" s="64"/>
      <c r="P32" s="62"/>
    </row>
    <row r="33" spans="2:16" ht="14.65" thickBot="1" x14ac:dyDescent="0.5">
      <c r="B33" s="52" t="s">
        <v>12</v>
      </c>
      <c r="C33" s="53"/>
      <c r="D33" s="54"/>
      <c r="H33" s="65" t="s">
        <v>16</v>
      </c>
      <c r="I33" s="66"/>
      <c r="J33" s="66"/>
      <c r="K33" s="66"/>
      <c r="L33" s="66"/>
      <c r="M33" s="66"/>
      <c r="N33" s="66"/>
      <c r="O33" s="66"/>
      <c r="P33" s="67"/>
    </row>
    <row r="34" spans="2:16" ht="14.65" thickBot="1" x14ac:dyDescent="0.5">
      <c r="B34" s="69"/>
      <c r="C34" s="70"/>
      <c r="D34" s="71"/>
      <c r="E34" s="1" t="s">
        <v>1</v>
      </c>
      <c r="F34" s="9">
        <v>5</v>
      </c>
      <c r="H34" s="63" t="s">
        <v>20</v>
      </c>
      <c r="I34" s="64"/>
      <c r="J34" s="64"/>
      <c r="K34" s="64"/>
      <c r="L34" s="64"/>
      <c r="M34" s="64"/>
      <c r="N34" s="64"/>
      <c r="O34" s="64"/>
      <c r="P34" s="62"/>
    </row>
    <row r="35" spans="2:16" ht="14.65" thickBot="1" x14ac:dyDescent="0.5">
      <c r="B35" s="72"/>
      <c r="C35" s="73"/>
      <c r="D35" s="74"/>
      <c r="E35" s="3" t="s">
        <v>2</v>
      </c>
      <c r="F35" s="8">
        <f>LOG10(5)-SIN(3*5)</f>
        <v>4.8682164178902032E-2</v>
      </c>
      <c r="H35" s="65" t="s">
        <v>17</v>
      </c>
      <c r="I35" s="66"/>
      <c r="J35" s="66"/>
      <c r="K35" s="66"/>
      <c r="L35" s="66"/>
      <c r="M35" s="66"/>
      <c r="N35" s="66"/>
      <c r="O35" s="66"/>
      <c r="P35" s="67"/>
    </row>
    <row r="36" spans="2:16" x14ac:dyDescent="0.45">
      <c r="E36" s="1"/>
      <c r="F36" s="1"/>
      <c r="H36" s="63" t="s">
        <v>21</v>
      </c>
      <c r="I36" s="64"/>
      <c r="J36" s="64"/>
      <c r="K36" s="64"/>
      <c r="L36" s="64"/>
      <c r="M36" s="64"/>
      <c r="N36" s="64"/>
      <c r="O36" s="64"/>
      <c r="P36" s="62"/>
    </row>
    <row r="37" spans="2:16" ht="14.65" thickBot="1" x14ac:dyDescent="0.5">
      <c r="E37" s="1"/>
      <c r="F37" s="1"/>
      <c r="H37" s="65" t="s">
        <v>18</v>
      </c>
      <c r="I37" s="66"/>
      <c r="J37" s="66"/>
      <c r="K37" s="66"/>
      <c r="L37" s="66"/>
      <c r="M37" s="66"/>
      <c r="N37" s="66"/>
      <c r="O37" s="66"/>
      <c r="P37" s="67"/>
    </row>
    <row r="38" spans="2:16" ht="14.65" thickBot="1" x14ac:dyDescent="0.5">
      <c r="E38" s="1"/>
      <c r="F38" s="1"/>
    </row>
    <row r="39" spans="2:16" ht="14.65" thickBot="1" x14ac:dyDescent="0.5">
      <c r="B39" s="52" t="s">
        <v>13</v>
      </c>
      <c r="C39" s="53"/>
      <c r="D39" s="54"/>
      <c r="E39" s="1"/>
      <c r="F39" s="1"/>
    </row>
    <row r="40" spans="2:16" ht="14.65" thickBot="1" x14ac:dyDescent="0.5">
      <c r="B40" s="55" t="s">
        <v>14</v>
      </c>
      <c r="C40" s="56"/>
      <c r="D40" s="57"/>
      <c r="E40" s="1" t="s">
        <v>1</v>
      </c>
      <c r="F40" s="9">
        <v>15</v>
      </c>
    </row>
    <row r="41" spans="2:16" ht="14.65" thickBot="1" x14ac:dyDescent="0.5">
      <c r="B41" s="58"/>
      <c r="C41" s="59"/>
      <c r="D41" s="60"/>
      <c r="E41" s="3" t="s">
        <v>2</v>
      </c>
      <c r="F41" s="8">
        <f>LN(EXP(15))</f>
        <v>15</v>
      </c>
    </row>
  </sheetData>
  <mergeCells count="24">
    <mergeCell ref="H6:J6"/>
    <mergeCell ref="H1:M5"/>
    <mergeCell ref="A1:C1"/>
    <mergeCell ref="B15:D15"/>
    <mergeCell ref="B16:D17"/>
    <mergeCell ref="B3:D3"/>
    <mergeCell ref="B4:D5"/>
    <mergeCell ref="B9:D9"/>
    <mergeCell ref="B10:D11"/>
    <mergeCell ref="B27:D27"/>
    <mergeCell ref="B28:D29"/>
    <mergeCell ref="B33:D33"/>
    <mergeCell ref="B34:D35"/>
    <mergeCell ref="B21:D21"/>
    <mergeCell ref="B22:D23"/>
    <mergeCell ref="B39:D39"/>
    <mergeCell ref="B40:D41"/>
    <mergeCell ref="H31:I31"/>
    <mergeCell ref="H32:P32"/>
    <mergeCell ref="H33:P33"/>
    <mergeCell ref="H34:P34"/>
    <mergeCell ref="H35:P35"/>
    <mergeCell ref="H36:P36"/>
    <mergeCell ref="H37:P37"/>
  </mergeCells>
  <hyperlinks>
    <hyperlink ref="H33" r:id="rId1" xr:uid="{00000000-0004-0000-0000-000000000000}"/>
    <hyperlink ref="H35:P35" r:id="rId2" display="https://en.wikipedia.org/wiki/Natural_logarithm" xr:uid="{00000000-0004-0000-0000-000001000000}"/>
    <hyperlink ref="H37:P37" r:id="rId3" display="https://en.wikipedia.org/wiki/Common_logarithm" xr:uid="{00000000-0004-0000-0000-000002000000}"/>
    <hyperlink ref="H6:J6" r:id="rId4" display="Excel Math Functions" xr:uid="{00000000-0004-0000-0000-000003000000}"/>
  </hyperlinks>
  <pageMargins left="0.7" right="0.7" top="0.75" bottom="0.75" header="0.3" footer="0.3"/>
  <pageSetup orientation="portrait" r:id="rId5"/>
  <drawing r:id="rId6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5E1C-2D08-459D-9D13-1DA5C297B2D7}">
  <dimension ref="B5:AC12"/>
  <sheetViews>
    <sheetView tabSelected="1" workbookViewId="0">
      <selection activeCell="X9" sqref="X9:Y12"/>
    </sheetView>
  </sheetViews>
  <sheetFormatPr defaultRowHeight="14.25" x14ac:dyDescent="0.45"/>
  <cols>
    <col min="1" max="1" width="16" bestFit="1" customWidth="1"/>
    <col min="5" max="5" width="0" hidden="1" customWidth="1"/>
    <col min="11" max="11" width="0" hidden="1" customWidth="1"/>
    <col min="14" max="14" width="0" hidden="1" customWidth="1"/>
    <col min="18" max="19" width="0" hidden="1" customWidth="1"/>
    <col min="20" max="20" width="11.53125" bestFit="1" customWidth="1"/>
    <col min="21" max="21" width="0" hidden="1" customWidth="1"/>
    <col min="22" max="22" width="11.53125" bestFit="1" customWidth="1"/>
    <col min="23" max="23" width="0" hidden="1" customWidth="1"/>
  </cols>
  <sheetData>
    <row r="5" spans="2:29" x14ac:dyDescent="0.45">
      <c r="B5" s="33" t="s">
        <v>48</v>
      </c>
      <c r="C5" s="88" t="s">
        <v>49</v>
      </c>
      <c r="D5" s="88"/>
      <c r="E5" s="34"/>
      <c r="F5" s="88" t="s">
        <v>50</v>
      </c>
      <c r="G5" s="88"/>
      <c r="H5" s="88"/>
      <c r="I5" s="88"/>
      <c r="J5" s="88"/>
      <c r="K5" s="34"/>
      <c r="L5" s="88" t="s">
        <v>51</v>
      </c>
      <c r="M5" s="88"/>
      <c r="N5" s="34"/>
      <c r="O5" s="88" t="s">
        <v>52</v>
      </c>
      <c r="P5" s="88"/>
      <c r="Q5" s="88"/>
      <c r="R5" s="88"/>
      <c r="S5" s="34"/>
      <c r="T5" s="34" t="s">
        <v>53</v>
      </c>
      <c r="U5" s="34"/>
      <c r="V5" s="34" t="s">
        <v>54</v>
      </c>
      <c r="W5" s="35"/>
      <c r="X5" s="88" t="s">
        <v>55</v>
      </c>
      <c r="Y5" s="88"/>
      <c r="Z5" s="91" t="s">
        <v>79</v>
      </c>
      <c r="AA5" s="49"/>
      <c r="AB5" s="91"/>
      <c r="AC5" s="49"/>
    </row>
    <row r="6" spans="2:29" x14ac:dyDescent="0.45">
      <c r="B6" s="36"/>
      <c r="C6" s="33" t="s">
        <v>56</v>
      </c>
      <c r="D6" s="33" t="s">
        <v>57</v>
      </c>
      <c r="E6" s="34"/>
      <c r="F6" s="33" t="s">
        <v>58</v>
      </c>
      <c r="G6" s="33" t="s">
        <v>59</v>
      </c>
      <c r="H6" s="33" t="s">
        <v>60</v>
      </c>
      <c r="I6" s="33" t="s">
        <v>61</v>
      </c>
      <c r="J6" s="33" t="s">
        <v>62</v>
      </c>
      <c r="K6" s="34"/>
      <c r="L6" s="88" t="s">
        <v>63</v>
      </c>
      <c r="M6" s="88"/>
      <c r="N6" s="34"/>
      <c r="O6" s="33" t="s">
        <v>64</v>
      </c>
      <c r="P6" s="33" t="s">
        <v>65</v>
      </c>
      <c r="Q6" s="33" t="s">
        <v>66</v>
      </c>
      <c r="R6" s="34"/>
      <c r="S6" s="34"/>
      <c r="T6" s="33" t="s">
        <v>67</v>
      </c>
      <c r="U6" s="34"/>
      <c r="V6" s="34"/>
      <c r="W6" s="35"/>
      <c r="X6" s="36"/>
      <c r="Y6" s="36"/>
      <c r="Z6" s="31">
        <v>0</v>
      </c>
      <c r="AA6" s="31" t="s">
        <v>80</v>
      </c>
      <c r="AB6" s="32"/>
      <c r="AC6" s="32"/>
    </row>
    <row r="7" spans="2:29" x14ac:dyDescent="0.45">
      <c r="B7" s="33">
        <v>1</v>
      </c>
      <c r="C7" s="37" t="s">
        <v>68</v>
      </c>
      <c r="D7" s="37" t="s">
        <v>69</v>
      </c>
      <c r="E7" s="36"/>
      <c r="F7" s="37">
        <v>48</v>
      </c>
      <c r="G7" s="37">
        <v>49</v>
      </c>
      <c r="H7" s="37">
        <v>40</v>
      </c>
      <c r="I7" s="37">
        <v>45</v>
      </c>
      <c r="J7" s="37">
        <v>50</v>
      </c>
      <c r="K7" s="36"/>
      <c r="L7" s="89">
        <f>AVERAGE(J7,I7,H7,G7,F7)</f>
        <v>46.4</v>
      </c>
      <c r="M7" s="89"/>
      <c r="N7" s="36"/>
      <c r="O7" s="37">
        <v>95</v>
      </c>
      <c r="P7" s="37">
        <v>85</v>
      </c>
      <c r="Q7" s="37">
        <v>100</v>
      </c>
      <c r="R7" s="36"/>
      <c r="S7" s="36"/>
      <c r="T7" s="38">
        <f>AVERAGE(Q7,P7,O7)</f>
        <v>93.333333333333329</v>
      </c>
      <c r="U7" s="36"/>
      <c r="V7" s="38">
        <f>L7+T7/2</f>
        <v>93.066666666666663</v>
      </c>
      <c r="W7" s="35"/>
      <c r="X7" s="90" t="str">
        <f>VLOOKUP(V7,Z$6:AA$9,2,TRUE)</f>
        <v>A</v>
      </c>
      <c r="Y7" s="90"/>
      <c r="Z7" s="31">
        <v>70</v>
      </c>
      <c r="AA7" s="31" t="s">
        <v>78</v>
      </c>
      <c r="AB7" s="32"/>
      <c r="AC7" s="32"/>
    </row>
    <row r="8" spans="2:29" x14ac:dyDescent="0.45">
      <c r="B8" s="33">
        <v>2</v>
      </c>
      <c r="C8" s="37" t="s">
        <v>70</v>
      </c>
      <c r="D8" s="37" t="s">
        <v>71</v>
      </c>
      <c r="E8" s="36"/>
      <c r="F8" s="37">
        <v>32</v>
      </c>
      <c r="G8" s="37">
        <v>36</v>
      </c>
      <c r="H8" s="37">
        <v>48</v>
      </c>
      <c r="I8" s="37">
        <v>25</v>
      </c>
      <c r="J8" s="37">
        <v>42</v>
      </c>
      <c r="K8" s="36"/>
      <c r="L8" s="89">
        <f t="shared" ref="L8:L11" si="0">AVERAGE(J8,I8,H8,G8,F8)</f>
        <v>36.6</v>
      </c>
      <c r="M8" s="89"/>
      <c r="N8" s="36"/>
      <c r="O8" s="37">
        <v>70</v>
      </c>
      <c r="P8" s="37">
        <v>85</v>
      </c>
      <c r="Q8" s="37">
        <v>60</v>
      </c>
      <c r="R8" s="36"/>
      <c r="S8" s="36"/>
      <c r="T8" s="38">
        <f t="shared" ref="T8:T12" si="1">AVERAGE(Q8,P8,O8)</f>
        <v>71.666666666666671</v>
      </c>
      <c r="U8" s="36"/>
      <c r="V8" s="38">
        <f t="shared" ref="V8:V12" si="2">L8+T8/2</f>
        <v>72.433333333333337</v>
      </c>
      <c r="W8" s="35"/>
      <c r="X8" s="90" t="str">
        <f t="shared" ref="X8:X11" si="3">VLOOKUP(V8,Z$6:AA$9,2,TRUE)</f>
        <v>C</v>
      </c>
      <c r="Y8" s="90"/>
      <c r="Z8" s="31">
        <v>80</v>
      </c>
      <c r="AA8" s="31" t="s">
        <v>81</v>
      </c>
      <c r="AB8" s="32"/>
      <c r="AC8" s="32"/>
    </row>
    <row r="9" spans="2:29" x14ac:dyDescent="0.45">
      <c r="B9" s="33">
        <v>3</v>
      </c>
      <c r="C9" s="37" t="s">
        <v>72</v>
      </c>
      <c r="D9" s="37" t="s">
        <v>73</v>
      </c>
      <c r="E9" s="36"/>
      <c r="F9" s="37">
        <v>10</v>
      </c>
      <c r="G9" s="37">
        <v>32</v>
      </c>
      <c r="H9" s="37">
        <v>39</v>
      </c>
      <c r="I9" s="37">
        <v>49</v>
      </c>
      <c r="J9" s="37">
        <v>36</v>
      </c>
      <c r="K9" s="36"/>
      <c r="L9" s="89">
        <f t="shared" si="0"/>
        <v>33.200000000000003</v>
      </c>
      <c r="M9" s="89"/>
      <c r="N9" s="36"/>
      <c r="O9" s="37">
        <v>60</v>
      </c>
      <c r="P9" s="37">
        <v>80</v>
      </c>
      <c r="Q9" s="37">
        <v>90</v>
      </c>
      <c r="R9" s="36"/>
      <c r="S9" s="36"/>
      <c r="T9" s="38">
        <f t="shared" si="1"/>
        <v>76.666666666666671</v>
      </c>
      <c r="U9" s="36"/>
      <c r="V9" s="38">
        <f t="shared" si="2"/>
        <v>71.533333333333331</v>
      </c>
      <c r="W9" s="35"/>
      <c r="X9" s="90" t="str">
        <f t="shared" si="3"/>
        <v>C</v>
      </c>
      <c r="Y9" s="90"/>
      <c r="Z9" s="31">
        <v>90</v>
      </c>
      <c r="AA9" s="31" t="s">
        <v>63</v>
      </c>
      <c r="AB9" s="32"/>
      <c r="AC9" s="32"/>
    </row>
    <row r="10" spans="2:29" x14ac:dyDescent="0.45">
      <c r="B10" s="33">
        <v>4</v>
      </c>
      <c r="C10" s="37" t="s">
        <v>74</v>
      </c>
      <c r="D10" s="37" t="s">
        <v>75</v>
      </c>
      <c r="E10" s="36"/>
      <c r="F10" s="37">
        <v>50</v>
      </c>
      <c r="G10" s="37">
        <v>50</v>
      </c>
      <c r="H10" s="37">
        <v>49</v>
      </c>
      <c r="I10" s="37">
        <v>50</v>
      </c>
      <c r="J10" s="37">
        <v>50</v>
      </c>
      <c r="K10" s="36"/>
      <c r="L10" s="89">
        <f t="shared" ref="L10:L12" si="4">AVERAGE(J10,I10,H10,G10,F10)</f>
        <v>49.8</v>
      </c>
      <c r="M10" s="89"/>
      <c r="N10" s="36"/>
      <c r="O10" s="37">
        <v>65</v>
      </c>
      <c r="P10" s="37">
        <v>100</v>
      </c>
      <c r="Q10" s="37">
        <v>100</v>
      </c>
      <c r="R10" s="36"/>
      <c r="S10" s="36"/>
      <c r="T10" s="38">
        <f t="shared" si="1"/>
        <v>88.333333333333329</v>
      </c>
      <c r="U10" s="36"/>
      <c r="V10" s="38">
        <f t="shared" si="2"/>
        <v>93.966666666666669</v>
      </c>
      <c r="W10" s="35"/>
      <c r="X10" s="90" t="str">
        <f t="shared" ref="X10:X12" si="5">VLOOKUP(V10,Z$6:AA$9,2,TRUE)</f>
        <v>A</v>
      </c>
      <c r="Y10" s="90"/>
    </row>
    <row r="11" spans="2:29" x14ac:dyDescent="0.45">
      <c r="B11" s="33">
        <v>5</v>
      </c>
      <c r="C11" s="37" t="s">
        <v>76</v>
      </c>
      <c r="D11" s="37" t="s">
        <v>77</v>
      </c>
      <c r="E11" s="36"/>
      <c r="F11" s="37">
        <v>0</v>
      </c>
      <c r="G11" s="37">
        <v>13</v>
      </c>
      <c r="H11" s="37">
        <v>25</v>
      </c>
      <c r="I11" s="37">
        <v>38</v>
      </c>
      <c r="J11" s="37">
        <v>50</v>
      </c>
      <c r="K11" s="36"/>
      <c r="L11" s="89">
        <f t="shared" si="4"/>
        <v>25.2</v>
      </c>
      <c r="M11" s="89"/>
      <c r="N11" s="36"/>
      <c r="O11" s="37">
        <v>40</v>
      </c>
      <c r="P11" s="37">
        <v>80</v>
      </c>
      <c r="Q11" s="37">
        <v>100</v>
      </c>
      <c r="R11" s="36"/>
      <c r="S11" s="36"/>
      <c r="T11" s="38">
        <f t="shared" si="1"/>
        <v>73.333333333333329</v>
      </c>
      <c r="U11" s="36"/>
      <c r="V11" s="38">
        <f t="shared" si="2"/>
        <v>61.86666666666666</v>
      </c>
      <c r="W11" s="35"/>
      <c r="X11" s="90" t="str">
        <f t="shared" si="5"/>
        <v>Fail</v>
      </c>
      <c r="Y11" s="90"/>
    </row>
    <row r="12" spans="2:29" x14ac:dyDescent="0.45">
      <c r="B12" s="93">
        <v>6</v>
      </c>
      <c r="C12" s="92" t="s">
        <v>82</v>
      </c>
      <c r="D12" s="92" t="s">
        <v>83</v>
      </c>
      <c r="E12" s="35"/>
      <c r="F12" s="35">
        <v>50</v>
      </c>
      <c r="G12" s="35">
        <v>50</v>
      </c>
      <c r="H12" s="35">
        <v>50</v>
      </c>
      <c r="I12" s="35">
        <v>50</v>
      </c>
      <c r="J12" s="35">
        <v>50</v>
      </c>
      <c r="K12" s="35"/>
      <c r="L12" s="89">
        <f t="shared" si="4"/>
        <v>50</v>
      </c>
      <c r="M12" s="89"/>
      <c r="N12" s="35"/>
      <c r="O12" s="35">
        <v>60</v>
      </c>
      <c r="P12" s="35">
        <v>100</v>
      </c>
      <c r="Q12" s="35">
        <v>100</v>
      </c>
      <c r="R12" s="35"/>
      <c r="S12" s="35"/>
      <c r="T12" s="35">
        <f t="shared" si="1"/>
        <v>86.666666666666671</v>
      </c>
      <c r="U12" s="35"/>
      <c r="V12" s="35">
        <f t="shared" si="2"/>
        <v>93.333333333333343</v>
      </c>
      <c r="W12" s="35"/>
      <c r="X12" s="90" t="str">
        <f t="shared" si="5"/>
        <v>A</v>
      </c>
      <c r="Y12" s="90"/>
    </row>
  </sheetData>
  <mergeCells count="20">
    <mergeCell ref="L12:M12"/>
    <mergeCell ref="X12:Y12"/>
    <mergeCell ref="AB5:AC5"/>
    <mergeCell ref="C5:D5"/>
    <mergeCell ref="F5:J5"/>
    <mergeCell ref="L5:M5"/>
    <mergeCell ref="O5:R5"/>
    <mergeCell ref="X5:Y5"/>
    <mergeCell ref="Z5:AA5"/>
    <mergeCell ref="L6:M6"/>
    <mergeCell ref="L10:M10"/>
    <mergeCell ref="X10:Y10"/>
    <mergeCell ref="L11:M11"/>
    <mergeCell ref="X11:Y11"/>
    <mergeCell ref="L7:M7"/>
    <mergeCell ref="X7:Y7"/>
    <mergeCell ref="L8:M8"/>
    <mergeCell ref="X8:Y8"/>
    <mergeCell ref="L9:M9"/>
    <mergeCell ref="X9:Y9"/>
  </mergeCells>
  <conditionalFormatting sqref="F7:J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M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Q1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:T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7:V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:Y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:Y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J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:V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 4 - 4A</vt:lpstr>
      <vt:lpstr>Unit 4 - 4B</vt:lpstr>
      <vt:lpstr>Unit 4 - 4Cc</vt:lpstr>
      <vt:lpstr>Unit 4 -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User</dc:creator>
  <cp:lastModifiedBy>K7z</cp:lastModifiedBy>
  <cp:lastPrinted>2016-01-28T16:15:26Z</cp:lastPrinted>
  <dcterms:created xsi:type="dcterms:W3CDTF">2015-10-20T16:51:41Z</dcterms:created>
  <dcterms:modified xsi:type="dcterms:W3CDTF">2019-10-08T01:21:40Z</dcterms:modified>
</cp:coreProperties>
</file>